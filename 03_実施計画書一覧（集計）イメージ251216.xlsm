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yuuta\デスクトップ\インターン\finatext\vba_test\ex003\"/>
    </mc:Choice>
  </mc:AlternateContent>
  <xr:revisionPtr revIDLastSave="0" documentId="13_ncr:1_{02A97A22-C992-4B61-BC79-53A13C16D14F}" xr6:coauthVersionLast="47" xr6:coauthVersionMax="47" xr10:uidLastSave="{00000000-0000-0000-0000-000000000000}"/>
  <bookViews>
    <workbookView xWindow="-90" yWindow="0" windowWidth="9780" windowHeight="10170" tabRatio="861" firstSheet="1" activeTab="3" xr2:uid="{3AD2FB53-2D02-41ED-8B15-89169C5B3A02}"/>
  </bookViews>
  <sheets>
    <sheet name="実施計画集計（集計）" sheetId="2" r:id="rId1"/>
    <sheet name="様式１-２" sheetId="17" r:id="rId2"/>
    <sheet name="様式１-３" sheetId="20" r:id="rId3"/>
    <sheet name="様式１-４" sheetId="21" r:id="rId4"/>
    <sheet name="様式１-５" sheetId="23" r:id="rId5"/>
    <sheet name="実行" sheetId="24" r:id="rId6"/>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23" l="1"/>
  <c r="J6" i="23"/>
  <c r="I6" i="23"/>
  <c r="K6" i="17"/>
  <c r="J6" i="17"/>
  <c r="H6" i="17"/>
  <c r="K6" i="21"/>
  <c r="J6" i="21"/>
  <c r="T6" i="17"/>
  <c r="I6" i="17" l="1"/>
  <c r="AI31" i="2" l="1"/>
  <c r="AJ31" i="2"/>
  <c r="AH31" i="2"/>
  <c r="AK13" i="2"/>
  <c r="AK14" i="2"/>
  <c r="AK15" i="2"/>
  <c r="AK16" i="2"/>
  <c r="AK17" i="2"/>
  <c r="AK18" i="2"/>
  <c r="AK19" i="2"/>
  <c r="AK20" i="2"/>
  <c r="AK21" i="2"/>
  <c r="AK22" i="2"/>
  <c r="AK23" i="2"/>
  <c r="AK24" i="2"/>
  <c r="AK25" i="2"/>
  <c r="AK26" i="2"/>
  <c r="AK27" i="2"/>
  <c r="AK28" i="2"/>
  <c r="AK29" i="2"/>
  <c r="AK30" i="2"/>
  <c r="I6" i="21"/>
  <c r="U6" i="20"/>
  <c r="V6" i="20" l="1"/>
  <c r="G6" i="17"/>
  <c r="L6" i="17"/>
  <c r="N6" i="17"/>
  <c r="O6" i="17"/>
  <c r="P6" i="17"/>
  <c r="Q6" i="17"/>
  <c r="R6" i="17"/>
  <c r="S6" i="17"/>
  <c r="F6" i="17"/>
  <c r="M6" i="20" l="1"/>
  <c r="O6" i="20"/>
  <c r="L6" i="20"/>
  <c r="AK6" i="2" l="1"/>
  <c r="AK7" i="2"/>
  <c r="AK8" i="2"/>
  <c r="AK9" i="2"/>
  <c r="AK10" i="2"/>
  <c r="AK11" i="2"/>
  <c r="AK12" i="2"/>
  <c r="AK5" i="2"/>
  <c r="AK31" i="2" s="1"/>
  <c r="M6" i="17" l="1"/>
  <c r="N6" i="20"/>
  <c r="Q6" i="20"/>
  <c r="Z52" i="2"/>
  <c r="Y52" i="2"/>
  <c r="W52" i="2"/>
  <c r="V52" i="2"/>
  <c r="T52" i="2"/>
  <c r="S52" i="2"/>
  <c r="Q52" i="2"/>
  <c r="P52" i="2"/>
  <c r="AA51" i="2"/>
  <c r="X51" i="2"/>
  <c r="U51" i="2"/>
  <c r="R51" i="2"/>
  <c r="AA50" i="2"/>
  <c r="X50" i="2"/>
  <c r="U50" i="2"/>
  <c r="R50" i="2"/>
  <c r="AA49" i="2"/>
  <c r="X49" i="2"/>
  <c r="U49" i="2"/>
  <c r="R49" i="2"/>
  <c r="AA48" i="2"/>
  <c r="X48" i="2"/>
  <c r="U48" i="2"/>
  <c r="R48" i="2"/>
  <c r="AA47" i="2"/>
  <c r="X47" i="2"/>
  <c r="U47" i="2"/>
  <c r="R47" i="2"/>
  <c r="AA46" i="2"/>
  <c r="X46" i="2"/>
  <c r="U46" i="2"/>
  <c r="R46" i="2"/>
  <c r="AA45" i="2"/>
  <c r="X45" i="2"/>
  <c r="U45" i="2"/>
  <c r="R45" i="2"/>
  <c r="AA44" i="2"/>
  <c r="X44" i="2"/>
  <c r="U44" i="2"/>
  <c r="R44" i="2"/>
  <c r="AA43" i="2"/>
  <c r="X43" i="2"/>
  <c r="U43" i="2"/>
  <c r="R43" i="2"/>
  <c r="AA42" i="2"/>
  <c r="X42" i="2"/>
  <c r="U42" i="2"/>
  <c r="R42" i="2"/>
  <c r="AA41" i="2"/>
  <c r="X41" i="2"/>
  <c r="U41" i="2"/>
  <c r="R41" i="2"/>
  <c r="AA40" i="2"/>
  <c r="X40" i="2"/>
  <c r="U40" i="2"/>
  <c r="R40" i="2"/>
  <c r="AA39" i="2"/>
  <c r="X39" i="2"/>
  <c r="U39" i="2"/>
  <c r="R39" i="2"/>
  <c r="AA38" i="2"/>
  <c r="X38" i="2"/>
  <c r="U38" i="2"/>
  <c r="R38" i="2"/>
  <c r="AA37" i="2"/>
  <c r="X37" i="2"/>
  <c r="U37" i="2"/>
  <c r="R37" i="2"/>
  <c r="AA36" i="2"/>
  <c r="X36" i="2"/>
  <c r="U36" i="2"/>
  <c r="R36" i="2"/>
  <c r="AA35" i="2"/>
  <c r="X35" i="2"/>
  <c r="U35" i="2"/>
  <c r="R35" i="2"/>
  <c r="AA34" i="2"/>
  <c r="X34" i="2"/>
  <c r="U34" i="2"/>
  <c r="R34" i="2"/>
  <c r="AA33" i="2"/>
  <c r="X33" i="2"/>
  <c r="U33" i="2"/>
  <c r="R33" i="2"/>
  <c r="AA32" i="2"/>
  <c r="X32" i="2"/>
  <c r="U32" i="2"/>
  <c r="R32" i="2"/>
  <c r="AA31" i="2"/>
  <c r="X31" i="2"/>
  <c r="U31" i="2"/>
  <c r="R31" i="2"/>
  <c r="AA30" i="2"/>
  <c r="X30" i="2"/>
  <c r="U30" i="2"/>
  <c r="R30" i="2"/>
  <c r="AA29" i="2"/>
  <c r="X29" i="2"/>
  <c r="U29" i="2"/>
  <c r="R29" i="2"/>
  <c r="AA28" i="2"/>
  <c r="X28" i="2"/>
  <c r="U28" i="2"/>
  <c r="R28" i="2"/>
  <c r="AA27" i="2"/>
  <c r="X27" i="2"/>
  <c r="U27" i="2"/>
  <c r="R27" i="2"/>
  <c r="AA26" i="2"/>
  <c r="X26" i="2"/>
  <c r="U26" i="2"/>
  <c r="R26" i="2"/>
  <c r="AA25" i="2"/>
  <c r="X25" i="2"/>
  <c r="U25" i="2"/>
  <c r="R25" i="2"/>
  <c r="AA24" i="2"/>
  <c r="X24" i="2"/>
  <c r="U24" i="2"/>
  <c r="R24" i="2"/>
  <c r="AA23" i="2"/>
  <c r="X23" i="2"/>
  <c r="U23" i="2"/>
  <c r="R23" i="2"/>
  <c r="AA22" i="2"/>
  <c r="X22" i="2"/>
  <c r="U22" i="2"/>
  <c r="R22" i="2"/>
  <c r="AA21" i="2"/>
  <c r="X21" i="2"/>
  <c r="U21" i="2"/>
  <c r="R21" i="2"/>
  <c r="AA20" i="2"/>
  <c r="X20" i="2"/>
  <c r="U20" i="2"/>
  <c r="R20" i="2"/>
  <c r="AA19" i="2"/>
  <c r="X19" i="2"/>
  <c r="U19" i="2"/>
  <c r="R19" i="2"/>
  <c r="AA18" i="2"/>
  <c r="X18" i="2"/>
  <c r="U18" i="2"/>
  <c r="R18" i="2"/>
  <c r="AA17" i="2"/>
  <c r="X17" i="2"/>
  <c r="U17" i="2"/>
  <c r="R17" i="2"/>
  <c r="AA16" i="2"/>
  <c r="X16" i="2"/>
  <c r="U16" i="2"/>
  <c r="R16" i="2"/>
  <c r="AA15" i="2"/>
  <c r="X15" i="2"/>
  <c r="U15" i="2"/>
  <c r="R15" i="2"/>
  <c r="AA14" i="2"/>
  <c r="X14" i="2"/>
  <c r="U14" i="2"/>
  <c r="R14" i="2"/>
  <c r="AA13" i="2"/>
  <c r="X13" i="2"/>
  <c r="U13" i="2"/>
  <c r="R13" i="2"/>
  <c r="AA12" i="2"/>
  <c r="X12" i="2"/>
  <c r="U12" i="2"/>
  <c r="R12" i="2"/>
  <c r="AA11" i="2"/>
  <c r="X11" i="2"/>
  <c r="U11" i="2"/>
  <c r="R11" i="2"/>
  <c r="AA10" i="2"/>
  <c r="X10" i="2"/>
  <c r="U10" i="2"/>
  <c r="R10" i="2"/>
  <c r="AA9" i="2"/>
  <c r="X9" i="2"/>
  <c r="U9" i="2"/>
  <c r="R9" i="2"/>
  <c r="AA8" i="2"/>
  <c r="X8" i="2"/>
  <c r="U8" i="2"/>
  <c r="R8" i="2"/>
  <c r="AA7" i="2"/>
  <c r="X7" i="2"/>
  <c r="U7" i="2"/>
  <c r="R7" i="2"/>
  <c r="AA6" i="2"/>
  <c r="X6" i="2"/>
  <c r="U6" i="2"/>
  <c r="R6" i="2"/>
  <c r="AA5" i="2"/>
  <c r="X5" i="2"/>
  <c r="U5" i="2"/>
  <c r="R5" i="2"/>
  <c r="N52" i="2"/>
  <c r="M52" i="2"/>
  <c r="K52" i="2"/>
  <c r="J52" i="2"/>
  <c r="O51" i="2"/>
  <c r="L51" i="2"/>
  <c r="O50" i="2"/>
  <c r="L50" i="2"/>
  <c r="O49" i="2"/>
  <c r="L49" i="2"/>
  <c r="O48" i="2"/>
  <c r="L48" i="2"/>
  <c r="O47" i="2"/>
  <c r="L47" i="2"/>
  <c r="O46" i="2"/>
  <c r="L46" i="2"/>
  <c r="O45" i="2"/>
  <c r="L45" i="2"/>
  <c r="O44" i="2"/>
  <c r="L44" i="2"/>
  <c r="O43" i="2"/>
  <c r="L43" i="2"/>
  <c r="O42" i="2"/>
  <c r="L42" i="2"/>
  <c r="O41" i="2"/>
  <c r="L41" i="2"/>
  <c r="O40" i="2"/>
  <c r="L40" i="2"/>
  <c r="O39" i="2"/>
  <c r="L39" i="2"/>
  <c r="O38" i="2"/>
  <c r="L38" i="2"/>
  <c r="O37" i="2"/>
  <c r="L37" i="2"/>
  <c r="O36" i="2"/>
  <c r="L36" i="2"/>
  <c r="O35" i="2"/>
  <c r="L35" i="2"/>
  <c r="O34" i="2"/>
  <c r="L34" i="2"/>
  <c r="O33" i="2"/>
  <c r="L33" i="2"/>
  <c r="O32" i="2"/>
  <c r="L32" i="2"/>
  <c r="O31" i="2"/>
  <c r="L31" i="2"/>
  <c r="O30" i="2"/>
  <c r="L30" i="2"/>
  <c r="O29" i="2"/>
  <c r="L29" i="2"/>
  <c r="O28" i="2"/>
  <c r="L28" i="2"/>
  <c r="O27" i="2"/>
  <c r="L27" i="2"/>
  <c r="O26" i="2"/>
  <c r="L26" i="2"/>
  <c r="O25" i="2"/>
  <c r="L25" i="2"/>
  <c r="O24" i="2"/>
  <c r="L24" i="2"/>
  <c r="O23" i="2"/>
  <c r="L23" i="2"/>
  <c r="O22" i="2"/>
  <c r="L22" i="2"/>
  <c r="O21" i="2"/>
  <c r="L21" i="2"/>
  <c r="O20" i="2"/>
  <c r="L20" i="2"/>
  <c r="O19" i="2"/>
  <c r="L19" i="2"/>
  <c r="O18" i="2"/>
  <c r="L18" i="2"/>
  <c r="O17" i="2"/>
  <c r="L17" i="2"/>
  <c r="O16" i="2"/>
  <c r="L16" i="2"/>
  <c r="O15" i="2"/>
  <c r="L15" i="2"/>
  <c r="O14" i="2"/>
  <c r="L14" i="2"/>
  <c r="O13" i="2"/>
  <c r="L13" i="2"/>
  <c r="O12" i="2"/>
  <c r="L12" i="2"/>
  <c r="O11" i="2"/>
  <c r="L11" i="2"/>
  <c r="O10" i="2"/>
  <c r="L10" i="2"/>
  <c r="O9" i="2"/>
  <c r="L9" i="2"/>
  <c r="O8" i="2"/>
  <c r="L8" i="2"/>
  <c r="O7" i="2"/>
  <c r="L7" i="2"/>
  <c r="O6" i="2"/>
  <c r="L6" i="2"/>
  <c r="O5" i="2"/>
  <c r="L5" i="2"/>
  <c r="H52" i="2"/>
  <c r="G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F6" i="2"/>
  <c r="F7" i="2"/>
  <c r="F8" i="2"/>
  <c r="F9" i="2"/>
  <c r="F10" i="2"/>
  <c r="AB10" i="2" s="1"/>
  <c r="F11" i="2"/>
  <c r="AB11" i="2" s="1"/>
  <c r="F12" i="2"/>
  <c r="F13" i="2"/>
  <c r="F14" i="2"/>
  <c r="AB14" i="2" s="1"/>
  <c r="F15" i="2"/>
  <c r="F16" i="2"/>
  <c r="AB16" i="2" s="1"/>
  <c r="F17" i="2"/>
  <c r="F18" i="2"/>
  <c r="F19" i="2"/>
  <c r="F20" i="2"/>
  <c r="F21" i="2"/>
  <c r="F22" i="2"/>
  <c r="AB22" i="2" s="1"/>
  <c r="F23" i="2"/>
  <c r="AB23" i="2" s="1"/>
  <c r="F24" i="2"/>
  <c r="F25" i="2"/>
  <c r="F26" i="2"/>
  <c r="AB26" i="2" s="1"/>
  <c r="F27" i="2"/>
  <c r="F28" i="2"/>
  <c r="AB28" i="2" s="1"/>
  <c r="F29" i="2"/>
  <c r="F30" i="2"/>
  <c r="F31" i="2"/>
  <c r="F32" i="2"/>
  <c r="F33" i="2"/>
  <c r="F34" i="2"/>
  <c r="AB34" i="2" s="1"/>
  <c r="F35" i="2"/>
  <c r="AB35" i="2" s="1"/>
  <c r="F36" i="2"/>
  <c r="F37" i="2"/>
  <c r="F38" i="2"/>
  <c r="AB38" i="2" s="1"/>
  <c r="F39" i="2"/>
  <c r="F40" i="2"/>
  <c r="AB40" i="2" s="1"/>
  <c r="F41" i="2"/>
  <c r="F42" i="2"/>
  <c r="F43" i="2"/>
  <c r="F44" i="2"/>
  <c r="F45" i="2"/>
  <c r="F46" i="2"/>
  <c r="AB46" i="2" s="1"/>
  <c r="F47" i="2"/>
  <c r="AB47" i="2" s="1"/>
  <c r="F48" i="2"/>
  <c r="F49" i="2"/>
  <c r="F50" i="2"/>
  <c r="AB50" i="2" s="1"/>
  <c r="F51" i="2"/>
  <c r="F5" i="2"/>
  <c r="E52" i="2"/>
  <c r="C52" i="2"/>
  <c r="D52" i="2"/>
  <c r="R6" i="20" l="1"/>
  <c r="T6" i="20"/>
  <c r="AB9" i="2"/>
  <c r="AD9" i="2" s="1"/>
  <c r="AB44" i="2"/>
  <c r="AD44" i="2" s="1"/>
  <c r="AB20" i="2"/>
  <c r="AD20" i="2" s="1"/>
  <c r="AB43" i="2"/>
  <c r="AD43" i="2" s="1"/>
  <c r="AB19" i="2"/>
  <c r="AD19" i="2" s="1"/>
  <c r="AB6" i="2"/>
  <c r="AB45" i="2"/>
  <c r="AB21" i="2"/>
  <c r="AB32" i="2"/>
  <c r="AD32" i="2" s="1"/>
  <c r="AB8" i="2"/>
  <c r="AB31" i="2"/>
  <c r="AB7" i="2"/>
  <c r="AD7" i="2" s="1"/>
  <c r="AB42" i="2"/>
  <c r="AB30" i="2"/>
  <c r="AB18" i="2"/>
  <c r="AB41" i="2"/>
  <c r="AD41" i="2" s="1"/>
  <c r="AB29" i="2"/>
  <c r="AB17" i="2"/>
  <c r="AB5" i="2"/>
  <c r="AB51" i="2"/>
  <c r="AB39" i="2"/>
  <c r="AB27" i="2"/>
  <c r="AB15" i="2"/>
  <c r="AD15" i="2" s="1"/>
  <c r="AB49" i="2"/>
  <c r="AD49" i="2" s="1"/>
  <c r="AB37" i="2"/>
  <c r="AB25" i="2"/>
  <c r="AB13" i="2"/>
  <c r="AD13" i="2" s="1"/>
  <c r="AB33" i="2"/>
  <c r="AD33" i="2" s="1"/>
  <c r="AB48" i="2"/>
  <c r="AD48" i="2" s="1"/>
  <c r="AB36" i="2"/>
  <c r="AB24" i="2"/>
  <c r="AD24" i="2" s="1"/>
  <c r="AB12" i="2"/>
  <c r="AD45" i="2"/>
  <c r="AD21" i="2"/>
  <c r="AD40" i="2"/>
  <c r="AD28" i="2"/>
  <c r="AD16" i="2"/>
  <c r="AD51" i="2"/>
  <c r="AD27" i="2"/>
  <c r="AD26" i="2"/>
  <c r="AD14" i="2"/>
  <c r="AD17" i="2"/>
  <c r="AD37" i="2"/>
  <c r="AD12" i="2"/>
  <c r="AD29" i="2"/>
  <c r="AD47" i="2"/>
  <c r="AD35" i="2"/>
  <c r="AD23" i="2"/>
  <c r="AD11" i="2"/>
  <c r="AD8" i="2"/>
  <c r="AD34" i="2"/>
  <c r="AD22" i="2"/>
  <c r="AD10" i="2"/>
  <c r="AD5" i="2"/>
  <c r="AD25" i="2"/>
  <c r="AD50" i="2"/>
  <c r="R52" i="2"/>
  <c r="AD46" i="2"/>
  <c r="AD36" i="2"/>
  <c r="AD31" i="2"/>
  <c r="AD39" i="2"/>
  <c r="AD42" i="2"/>
  <c r="AD30" i="2"/>
  <c r="AD18" i="2"/>
  <c r="AD6" i="2"/>
  <c r="AD38" i="2"/>
  <c r="AA52" i="2"/>
  <c r="X52" i="2"/>
  <c r="U52" i="2"/>
  <c r="L52" i="2"/>
  <c r="O52" i="2"/>
  <c r="I52" i="2"/>
  <c r="F52" i="2"/>
  <c r="AC52" i="2"/>
  <c r="AB52" i="2" l="1"/>
  <c r="AD52" i="2"/>
</calcChain>
</file>

<file path=xl/sharedStrings.xml><?xml version="1.0" encoding="utf-8"?>
<sst xmlns="http://schemas.openxmlformats.org/spreadsheetml/2006/main" count="1040" uniqueCount="259">
  <si>
    <t>令和●年度強化交付金実施計画書（集計）</t>
    <rPh sb="0" eb="2">
      <t>レイワ</t>
    </rPh>
    <rPh sb="3" eb="5">
      <t>ネンド</t>
    </rPh>
    <rPh sb="4" eb="5">
      <t>ド</t>
    </rPh>
    <rPh sb="5" eb="7">
      <t>キョウカ</t>
    </rPh>
    <rPh sb="7" eb="10">
      <t>コウフキン</t>
    </rPh>
    <rPh sb="10" eb="15">
      <t>ジッシケイカクショ</t>
    </rPh>
    <rPh sb="16" eb="18">
      <t>シュウケイ</t>
    </rPh>
    <phoneticPr fontId="2"/>
  </si>
  <si>
    <t>都道府県</t>
    <rPh sb="0" eb="4">
      <t>トドウフケン</t>
    </rPh>
    <phoneticPr fontId="2"/>
  </si>
  <si>
    <t>事業数</t>
    <rPh sb="0" eb="3">
      <t>ジギョウスウ</t>
    </rPh>
    <phoneticPr fontId="2"/>
  </si>
  <si>
    <t>１次交付決定額</t>
    <rPh sb="1" eb="2">
      <t>ツギ</t>
    </rPh>
    <rPh sb="2" eb="4">
      <t>コウフ</t>
    </rPh>
    <rPh sb="4" eb="6">
      <t>ケッテイ</t>
    </rPh>
    <rPh sb="6" eb="7">
      <t>ガク</t>
    </rPh>
    <phoneticPr fontId="2"/>
  </si>
  <si>
    <t>２次交付決定額</t>
    <rPh sb="1" eb="2">
      <t>ツギ</t>
    </rPh>
    <rPh sb="2" eb="4">
      <t>コウフ</t>
    </rPh>
    <rPh sb="4" eb="6">
      <t>ケッテイ</t>
    </rPh>
    <rPh sb="6" eb="7">
      <t>ガク</t>
    </rPh>
    <phoneticPr fontId="2"/>
  </si>
  <si>
    <t>３次交付決定額</t>
    <rPh sb="1" eb="2">
      <t>ツギ</t>
    </rPh>
    <rPh sb="2" eb="4">
      <t>コウフ</t>
    </rPh>
    <rPh sb="4" eb="6">
      <t>ケッテイ</t>
    </rPh>
    <rPh sb="6" eb="7">
      <t>ガク</t>
    </rPh>
    <phoneticPr fontId="2"/>
  </si>
  <si>
    <t>４次交付決定額</t>
    <rPh sb="1" eb="2">
      <t>ツギ</t>
    </rPh>
    <rPh sb="2" eb="4">
      <t>コウフ</t>
    </rPh>
    <rPh sb="4" eb="6">
      <t>ケッテイ</t>
    </rPh>
    <rPh sb="6" eb="7">
      <t>ガク</t>
    </rPh>
    <phoneticPr fontId="2"/>
  </si>
  <si>
    <t>５次交付決定額</t>
    <rPh sb="1" eb="2">
      <t>ツギ</t>
    </rPh>
    <rPh sb="2" eb="4">
      <t>コウフ</t>
    </rPh>
    <rPh sb="4" eb="6">
      <t>ケッテイ</t>
    </rPh>
    <rPh sb="6" eb="7">
      <t>ガク</t>
    </rPh>
    <phoneticPr fontId="2"/>
  </si>
  <si>
    <t>６次交付決定額</t>
    <rPh sb="1" eb="2">
      <t>ツギ</t>
    </rPh>
    <rPh sb="2" eb="4">
      <t>コウフ</t>
    </rPh>
    <rPh sb="4" eb="6">
      <t>ケッテイ</t>
    </rPh>
    <rPh sb="6" eb="7">
      <t>ガク</t>
    </rPh>
    <phoneticPr fontId="2"/>
  </si>
  <si>
    <t>７次交付決定額</t>
    <rPh sb="1" eb="2">
      <t>ツギ</t>
    </rPh>
    <rPh sb="2" eb="4">
      <t>コウフ</t>
    </rPh>
    <rPh sb="4" eb="6">
      <t>ケッテイ</t>
    </rPh>
    <rPh sb="6" eb="7">
      <t>ガク</t>
    </rPh>
    <phoneticPr fontId="2"/>
  </si>
  <si>
    <t>８次交付決定額</t>
    <rPh sb="1" eb="2">
      <t>ツギ</t>
    </rPh>
    <rPh sb="2" eb="4">
      <t>コウフ</t>
    </rPh>
    <rPh sb="4" eb="6">
      <t>ケッテイ</t>
    </rPh>
    <rPh sb="6" eb="7">
      <t>ガク</t>
    </rPh>
    <phoneticPr fontId="2"/>
  </si>
  <si>
    <t>R●交付決定額</t>
    <rPh sb="2" eb="7">
      <t>コウフケッテイガク</t>
    </rPh>
    <phoneticPr fontId="2"/>
  </si>
  <si>
    <t>差額</t>
    <rPh sb="0" eb="2">
      <t>サガク</t>
    </rPh>
    <phoneticPr fontId="2"/>
  </si>
  <si>
    <t>事業メニュー</t>
    <rPh sb="0" eb="2">
      <t>ジギョウ</t>
    </rPh>
    <phoneticPr fontId="2"/>
  </si>
  <si>
    <t>交付決定額</t>
    <rPh sb="0" eb="2">
      <t>コウフ</t>
    </rPh>
    <rPh sb="2" eb="4">
      <t>ケッテイ</t>
    </rPh>
    <rPh sb="4" eb="5">
      <t>ガク</t>
    </rPh>
    <phoneticPr fontId="2"/>
  </si>
  <si>
    <t>R●当初</t>
    <rPh sb="2" eb="4">
      <t>トウショ</t>
    </rPh>
    <phoneticPr fontId="2"/>
  </si>
  <si>
    <t>R●補正</t>
    <rPh sb="2" eb="4">
      <t>ホセイ</t>
    </rPh>
    <phoneticPr fontId="2"/>
  </si>
  <si>
    <t>総計</t>
    <rPh sb="0" eb="2">
      <t>ソウケイ</t>
    </rPh>
    <phoneticPr fontId="2"/>
  </si>
  <si>
    <t>北海道</t>
    <rPh sb="0" eb="3">
      <t>ホッカイドウ</t>
    </rPh>
    <phoneticPr fontId="2"/>
  </si>
  <si>
    <t>青森県</t>
    <rPh sb="0" eb="3">
      <t>アオモリケン</t>
    </rPh>
    <phoneticPr fontId="2"/>
  </si>
  <si>
    <t>岩手県</t>
    <rPh sb="0" eb="3">
      <t>イワテケン</t>
    </rPh>
    <phoneticPr fontId="2"/>
  </si>
  <si>
    <t>宮城県</t>
    <rPh sb="0" eb="3">
      <t>ミヤギケン</t>
    </rPh>
    <phoneticPr fontId="2"/>
  </si>
  <si>
    <t>秋田県</t>
    <rPh sb="0" eb="3">
      <t>アキタケン</t>
    </rPh>
    <phoneticPr fontId="2"/>
  </si>
  <si>
    <t>山形県</t>
    <rPh sb="0" eb="3">
      <t>ヤマガタケン</t>
    </rPh>
    <phoneticPr fontId="2"/>
  </si>
  <si>
    <t>福島県</t>
    <rPh sb="0" eb="3">
      <t>フクシマケン</t>
    </rPh>
    <phoneticPr fontId="2"/>
  </si>
  <si>
    <t>茨城県</t>
    <rPh sb="0" eb="3">
      <t>イバラキケン</t>
    </rPh>
    <phoneticPr fontId="2"/>
  </si>
  <si>
    <t>栃木県</t>
    <rPh sb="0" eb="3">
      <t>トチギケン</t>
    </rPh>
    <phoneticPr fontId="2"/>
  </si>
  <si>
    <t>群馬県</t>
    <rPh sb="0" eb="3">
      <t>グンマケン</t>
    </rPh>
    <phoneticPr fontId="2"/>
  </si>
  <si>
    <t>埼玉県</t>
    <rPh sb="0" eb="3">
      <t>サイタマケン</t>
    </rPh>
    <phoneticPr fontId="2"/>
  </si>
  <si>
    <t>千葉県</t>
    <rPh sb="0" eb="3">
      <t>チバケン</t>
    </rPh>
    <phoneticPr fontId="2"/>
  </si>
  <si>
    <t>東京都</t>
    <rPh sb="0" eb="3">
      <t>トウキョウト</t>
    </rPh>
    <phoneticPr fontId="2"/>
  </si>
  <si>
    <t>神奈川県</t>
    <rPh sb="0" eb="4">
      <t>カナガワケン</t>
    </rPh>
    <phoneticPr fontId="2"/>
  </si>
  <si>
    <t>新潟県</t>
    <rPh sb="0" eb="3">
      <t>ニイガタケン</t>
    </rPh>
    <phoneticPr fontId="2"/>
  </si>
  <si>
    <t>富山県</t>
    <rPh sb="0" eb="3">
      <t>トヤマケン</t>
    </rPh>
    <phoneticPr fontId="2"/>
  </si>
  <si>
    <t>石川県</t>
    <rPh sb="0" eb="3">
      <t>イシカワケン</t>
    </rPh>
    <phoneticPr fontId="2"/>
  </si>
  <si>
    <t>福井県</t>
    <rPh sb="0" eb="3">
      <t>フクイケン</t>
    </rPh>
    <phoneticPr fontId="2"/>
  </si>
  <si>
    <t>山梨県</t>
    <rPh sb="0" eb="3">
      <t>ヤマナシケン</t>
    </rPh>
    <phoneticPr fontId="2"/>
  </si>
  <si>
    <t>長野県</t>
    <rPh sb="0" eb="3">
      <t>ナガノケン</t>
    </rPh>
    <phoneticPr fontId="2"/>
  </si>
  <si>
    <t>岐阜県</t>
    <rPh sb="0" eb="3">
      <t>ギフケン</t>
    </rPh>
    <phoneticPr fontId="2"/>
  </si>
  <si>
    <t>静岡県</t>
    <rPh sb="0" eb="3">
      <t>シズオカケン</t>
    </rPh>
    <phoneticPr fontId="2"/>
  </si>
  <si>
    <t>愛知県</t>
    <rPh sb="0" eb="3">
      <t>アイチケン</t>
    </rPh>
    <phoneticPr fontId="2"/>
  </si>
  <si>
    <t>三重県</t>
    <rPh sb="0" eb="3">
      <t>ミエケン</t>
    </rPh>
    <phoneticPr fontId="2"/>
  </si>
  <si>
    <t>合計</t>
    <rPh sb="0" eb="2">
      <t>ゴウケイ</t>
    </rPh>
    <phoneticPr fontId="2"/>
  </si>
  <si>
    <t>滋賀県</t>
    <rPh sb="0" eb="3">
      <t>シガケン</t>
    </rPh>
    <phoneticPr fontId="2"/>
  </si>
  <si>
    <t>京都府</t>
    <rPh sb="0" eb="3">
      <t>キョウトフ</t>
    </rPh>
    <phoneticPr fontId="2"/>
  </si>
  <si>
    <t>大阪府</t>
    <rPh sb="0" eb="3">
      <t>オオサカフ</t>
    </rPh>
    <phoneticPr fontId="2"/>
  </si>
  <si>
    <t>兵庫県</t>
    <rPh sb="0" eb="3">
      <t>ヒョウゴケン</t>
    </rPh>
    <phoneticPr fontId="2"/>
  </si>
  <si>
    <t>奈良県</t>
    <rPh sb="0" eb="3">
      <t>ナラケン</t>
    </rPh>
    <phoneticPr fontId="2"/>
  </si>
  <si>
    <t>和歌山県</t>
    <rPh sb="0" eb="4">
      <t>ワカヤマケン</t>
    </rPh>
    <phoneticPr fontId="2"/>
  </si>
  <si>
    <t>鳥取県</t>
    <rPh sb="0" eb="3">
      <t>トットリケン</t>
    </rPh>
    <phoneticPr fontId="2"/>
  </si>
  <si>
    <t>島根県</t>
    <rPh sb="0" eb="3">
      <t>シマネケン</t>
    </rPh>
    <phoneticPr fontId="2"/>
  </si>
  <si>
    <t>岡山県</t>
    <rPh sb="0" eb="3">
      <t>オカヤマケン</t>
    </rPh>
    <phoneticPr fontId="2"/>
  </si>
  <si>
    <t>広島県</t>
    <rPh sb="0" eb="3">
      <t>ヒロシマケン</t>
    </rPh>
    <phoneticPr fontId="2"/>
  </si>
  <si>
    <t>山口県</t>
    <rPh sb="0" eb="3">
      <t>ヤマグチケン</t>
    </rPh>
    <phoneticPr fontId="2"/>
  </si>
  <si>
    <t>徳島県</t>
    <rPh sb="0" eb="3">
      <t>トクシマケン</t>
    </rPh>
    <phoneticPr fontId="2"/>
  </si>
  <si>
    <t>香川県</t>
    <rPh sb="0" eb="3">
      <t>カガワケン</t>
    </rPh>
    <phoneticPr fontId="2"/>
  </si>
  <si>
    <t>愛媛県</t>
    <rPh sb="0" eb="3">
      <t>エヒメケン</t>
    </rPh>
    <phoneticPr fontId="2"/>
  </si>
  <si>
    <t>高知県</t>
    <rPh sb="0" eb="3">
      <t>コウチケン</t>
    </rPh>
    <phoneticPr fontId="2"/>
  </si>
  <si>
    <t>福岡県</t>
    <rPh sb="0" eb="3">
      <t>フクオカケン</t>
    </rPh>
    <phoneticPr fontId="2"/>
  </si>
  <si>
    <t>佐賀県</t>
    <rPh sb="0" eb="3">
      <t>サガケン</t>
    </rPh>
    <phoneticPr fontId="2"/>
  </si>
  <si>
    <t>長崎県</t>
    <rPh sb="0" eb="3">
      <t>ナガサキケン</t>
    </rPh>
    <phoneticPr fontId="2"/>
  </si>
  <si>
    <t>熊本県</t>
    <rPh sb="0" eb="3">
      <t>クマモトケン</t>
    </rPh>
    <phoneticPr fontId="2"/>
  </si>
  <si>
    <t>大分県</t>
    <rPh sb="0" eb="3">
      <t>オオイタケン</t>
    </rPh>
    <phoneticPr fontId="2"/>
  </si>
  <si>
    <t>宮崎県</t>
    <rPh sb="0" eb="3">
      <t>ミヤザキケン</t>
    </rPh>
    <phoneticPr fontId="2"/>
  </si>
  <si>
    <t>鹿児島県</t>
    <rPh sb="0" eb="4">
      <t>カゴシマケン</t>
    </rPh>
    <phoneticPr fontId="2"/>
  </si>
  <si>
    <t>沖縄県</t>
    <rPh sb="0" eb="3">
      <t>オキナワケン</t>
    </rPh>
    <phoneticPr fontId="2"/>
  </si>
  <si>
    <t>事業番号</t>
    <rPh sb="0" eb="4">
      <t>ジギョウバンゴウ</t>
    </rPh>
    <phoneticPr fontId="2"/>
  </si>
  <si>
    <t>内訳</t>
    <rPh sb="0" eb="2">
      <t>ウチワケ</t>
    </rPh>
    <phoneticPr fontId="2"/>
  </si>
  <si>
    <t>実施主体名</t>
    <rPh sb="0" eb="4">
      <t>ジッシシュタイ</t>
    </rPh>
    <rPh sb="4" eb="5">
      <t>メイ</t>
    </rPh>
    <phoneticPr fontId="2"/>
  </si>
  <si>
    <t>総事業数</t>
    <rPh sb="0" eb="4">
      <t>ソウジギョウスウ</t>
    </rPh>
    <phoneticPr fontId="2"/>
  </si>
  <si>
    <t>事業</t>
    <rPh sb="0" eb="2">
      <t>ジギョウ</t>
    </rPh>
    <phoneticPr fontId="2"/>
  </si>
  <si>
    <t>地方公共団体コード</t>
    <rPh sb="0" eb="6">
      <t>チホウコウキョウダンタイ</t>
    </rPh>
    <phoneticPr fontId="2"/>
  </si>
  <si>
    <t>都道府県名</t>
    <rPh sb="0" eb="5">
      <t>トドウフケンメイ</t>
    </rPh>
    <phoneticPr fontId="2"/>
  </si>
  <si>
    <t>事業内容</t>
    <rPh sb="0" eb="4">
      <t>ジギョウナイヨウ</t>
    </rPh>
    <phoneticPr fontId="2"/>
  </si>
  <si>
    <t>R●対象経費支出予定額　総額</t>
    <rPh sb="2" eb="4">
      <t>タイショウ</t>
    </rPh>
    <rPh sb="4" eb="6">
      <t>ケイヒ</t>
    </rPh>
    <rPh sb="6" eb="8">
      <t>シシュツ</t>
    </rPh>
    <rPh sb="8" eb="10">
      <t>ヨテイ</t>
    </rPh>
    <rPh sb="10" eb="11">
      <t>ガク</t>
    </rPh>
    <rPh sb="12" eb="14">
      <t>ソウガク</t>
    </rPh>
    <phoneticPr fontId="2"/>
  </si>
  <si>
    <t>区分
（注）</t>
    <rPh sb="0" eb="2">
      <t>クブン</t>
    </rPh>
    <rPh sb="4" eb="5">
      <t>チュウ</t>
    </rPh>
    <phoneticPr fontId="2"/>
  </si>
  <si>
    <t>消費者行政予算</t>
    <rPh sb="0" eb="3">
      <t>シ</t>
    </rPh>
    <rPh sb="3" eb="5">
      <t>ギョウセイ</t>
    </rPh>
    <rPh sb="5" eb="7">
      <t>ヨサン</t>
    </rPh>
    <phoneticPr fontId="2"/>
  </si>
  <si>
    <t>交付申請額</t>
    <rPh sb="0" eb="2">
      <t>コウフ</t>
    </rPh>
    <rPh sb="2" eb="4">
      <t>シンセイ</t>
    </rPh>
    <rPh sb="4" eb="5">
      <t>ガク</t>
    </rPh>
    <phoneticPr fontId="2"/>
  </si>
  <si>
    <t>様式１－２　地方消費者行政機能維持事業及び地方消費者行政機能強化事業申請額内訳</t>
    <rPh sb="0" eb="2">
      <t>ヨウシキ</t>
    </rPh>
    <phoneticPr fontId="2"/>
  </si>
  <si>
    <t>区分
（注１）</t>
    <rPh sb="0" eb="2">
      <t>クブン</t>
    </rPh>
    <rPh sb="4" eb="5">
      <t>チュウ</t>
    </rPh>
    <phoneticPr fontId="2"/>
  </si>
  <si>
    <t>事業名</t>
    <rPh sb="0" eb="3">
      <t>ジギョウメイ</t>
    </rPh>
    <phoneticPr fontId="2"/>
  </si>
  <si>
    <t>事業の型</t>
    <rPh sb="0" eb="2">
      <t>ジギョウ</t>
    </rPh>
    <rPh sb="3" eb="4">
      <t>カタ</t>
    </rPh>
    <phoneticPr fontId="2"/>
  </si>
  <si>
    <t>取組</t>
    <rPh sb="0" eb="2">
      <t>トリクミ</t>
    </rPh>
    <phoneticPr fontId="2"/>
  </si>
  <si>
    <t>対象経費</t>
    <rPh sb="0" eb="4">
      <t>タイショウケイヒ</t>
    </rPh>
    <phoneticPr fontId="2"/>
  </si>
  <si>
    <t>予算区分</t>
    <rPh sb="0" eb="4">
      <t>ヨサンクブン</t>
    </rPh>
    <phoneticPr fontId="2"/>
  </si>
  <si>
    <t>備考</t>
    <rPh sb="0" eb="2">
      <t>ビコウ</t>
    </rPh>
    <phoneticPr fontId="2"/>
  </si>
  <si>
    <t>地方公共団体コード</t>
    <phoneticPr fontId="2"/>
  </si>
  <si>
    <t>No.</t>
    <phoneticPr fontId="2"/>
  </si>
  <si>
    <t>活用終了年度
※③のみ</t>
    <rPh sb="0" eb="2">
      <t>カツヨウ</t>
    </rPh>
    <rPh sb="2" eb="4">
      <t>シュウリョウ</t>
    </rPh>
    <rPh sb="4" eb="6">
      <t>ネンド</t>
    </rPh>
    <phoneticPr fontId="2"/>
  </si>
  <si>
    <t>様式１－３　地方消費者行政機能維持事業（①及び③）実施計画総括表</t>
    <rPh sb="0" eb="2">
      <t>ヨウシキ</t>
    </rPh>
    <phoneticPr fontId="2"/>
  </si>
  <si>
    <t>様式１－４　地方消費者行政機能維持事業（②）及び地方消費者行政機能強化事業（④～⑦）実施計画総括表</t>
    <rPh sb="6" eb="8">
      <t>チホウ</t>
    </rPh>
    <rPh sb="8" eb="11">
      <t>ショウヒシャ</t>
    </rPh>
    <rPh sb="11" eb="13">
      <t>ギョウセイ</t>
    </rPh>
    <rPh sb="13" eb="15">
      <t>キノウ</t>
    </rPh>
    <rPh sb="15" eb="17">
      <t>イジ</t>
    </rPh>
    <rPh sb="17" eb="19">
      <t>ジギョウ</t>
    </rPh>
    <rPh sb="22" eb="23">
      <t>オヨ</t>
    </rPh>
    <rPh sb="24" eb="26">
      <t>チホウ</t>
    </rPh>
    <rPh sb="26" eb="29">
      <t>ショウヒシャ</t>
    </rPh>
    <rPh sb="29" eb="31">
      <t>ギョウセイ</t>
    </rPh>
    <rPh sb="31" eb="33">
      <t>キノウ</t>
    </rPh>
    <rPh sb="33" eb="35">
      <t>キョウカ</t>
    </rPh>
    <rPh sb="35" eb="37">
      <t>ジギョウ</t>
    </rPh>
    <rPh sb="42" eb="44">
      <t>ジッシ</t>
    </rPh>
    <rPh sb="44" eb="46">
      <t>ケイカク</t>
    </rPh>
    <rPh sb="46" eb="49">
      <t>ソウカツヒョウ</t>
    </rPh>
    <phoneticPr fontId="2"/>
  </si>
  <si>
    <t>①</t>
    <phoneticPr fontId="2"/>
  </si>
  <si>
    <t>②</t>
    <phoneticPr fontId="2"/>
  </si>
  <si>
    <t>③</t>
    <phoneticPr fontId="2"/>
  </si>
  <si>
    <t>④</t>
    <phoneticPr fontId="2"/>
  </si>
  <si>
    <t>⑤</t>
    <phoneticPr fontId="2"/>
  </si>
  <si>
    <t>⑥</t>
    <phoneticPr fontId="2"/>
  </si>
  <si>
    <t>（単位：円）</t>
    <rPh sb="1" eb="3">
      <t>タンイ</t>
    </rPh>
    <rPh sb="4" eb="5">
      <t>エン</t>
    </rPh>
    <phoneticPr fontId="2"/>
  </si>
  <si>
    <t>（単位：円）</t>
    <phoneticPr fontId="2"/>
  </si>
  <si>
    <t>令和７年度消費者行政当初予算（一般財源）
（A）</t>
    <rPh sb="0" eb="2">
      <t>レイワ</t>
    </rPh>
    <rPh sb="3" eb="5">
      <t>ネンド</t>
    </rPh>
    <rPh sb="5" eb="8">
      <t>シ</t>
    </rPh>
    <rPh sb="8" eb="10">
      <t>ギョウセイ</t>
    </rPh>
    <rPh sb="10" eb="12">
      <t>トウショ</t>
    </rPh>
    <rPh sb="12" eb="14">
      <t>ヨサン</t>
    </rPh>
    <rPh sb="15" eb="19">
      <t>イッパンザイゲン</t>
    </rPh>
    <phoneticPr fontId="1"/>
  </si>
  <si>
    <t>令和８年度消費者行政当初予算（一般財源）
（B）</t>
    <rPh sb="0" eb="2">
      <t>レイワ</t>
    </rPh>
    <rPh sb="3" eb="5">
      <t>ネンド</t>
    </rPh>
    <rPh sb="5" eb="8">
      <t>シ</t>
    </rPh>
    <rPh sb="8" eb="10">
      <t>ギョウセイ</t>
    </rPh>
    <rPh sb="10" eb="12">
      <t>トウショ</t>
    </rPh>
    <rPh sb="12" eb="14">
      <t>ヨサン</t>
    </rPh>
    <rPh sb="15" eb="19">
      <t>イッパンザイゲン</t>
    </rPh>
    <phoneticPr fontId="1"/>
  </si>
  <si>
    <t>差引
（B-A）</t>
    <rPh sb="0" eb="2">
      <t>サシヒキ</t>
    </rPh>
    <phoneticPr fontId="1"/>
  </si>
  <si>
    <t>①相談機能維持・未然防止強化型</t>
  </si>
  <si>
    <t>②広域連携推進型</t>
  </si>
  <si>
    <t>③地方消費者行政推進型</t>
  </si>
  <si>
    <t>④相談・見守り連携強化型</t>
  </si>
  <si>
    <t>⑤広域連携強化型</t>
  </si>
  <si>
    <t>⑥担い手確保、人材育成・強化型（人材確保）</t>
    <rPh sb="1" eb="15">
      <t>ニナ</t>
    </rPh>
    <rPh sb="16" eb="18">
      <t>ジンザイ</t>
    </rPh>
    <rPh sb="18" eb="20">
      <t>カクホ</t>
    </rPh>
    <phoneticPr fontId="1"/>
  </si>
  <si>
    <t>⑦-1 担い手確保、人材育成・強化型（人材強化・特定領域相談対応力強化）</t>
    <rPh sb="4" eb="18">
      <t>ニナ</t>
    </rPh>
    <rPh sb="19" eb="21">
      <t>ジンザイ</t>
    </rPh>
    <rPh sb="21" eb="23">
      <t>キョウカ</t>
    </rPh>
    <phoneticPr fontId="1"/>
  </si>
  <si>
    <t>⑦-2 担い手確保、人材育成・強化型（人材強化・市町村支援力強化）</t>
    <rPh sb="4" eb="18">
      <t>ニナ</t>
    </rPh>
    <rPh sb="19" eb="21">
      <t>ジンザイ</t>
    </rPh>
    <rPh sb="21" eb="23">
      <t>キョウカ</t>
    </rPh>
    <rPh sb="24" eb="27">
      <t>シチョウソン</t>
    </rPh>
    <rPh sb="27" eb="29">
      <t>シエン</t>
    </rPh>
    <rPh sb="29" eb="30">
      <t>リョク</t>
    </rPh>
    <rPh sb="30" eb="32">
      <t>キョウカ</t>
    </rPh>
    <phoneticPr fontId="1"/>
  </si>
  <si>
    <t>⑧重点課題対応型</t>
    <rPh sb="1" eb="8">
      <t>ジ</t>
    </rPh>
    <phoneticPr fontId="1"/>
  </si>
  <si>
    <t>対象経費
支出予定額
A</t>
    <rPh sb="0" eb="4">
      <t>タイショウケイヒ</t>
    </rPh>
    <rPh sb="5" eb="7">
      <t>シシュツ</t>
    </rPh>
    <rPh sb="7" eb="10">
      <t>ヨテイガク</t>
    </rPh>
    <phoneticPr fontId="1"/>
  </si>
  <si>
    <t>差引額
（A-B）
C</t>
    <rPh sb="0" eb="3">
      <t>サシヒキガク</t>
    </rPh>
    <phoneticPr fontId="1"/>
  </si>
  <si>
    <t>令和７年度交付決定額
D</t>
    <rPh sb="0" eb="2">
      <t>レイワ</t>
    </rPh>
    <rPh sb="3" eb="5">
      <t>ネンド</t>
    </rPh>
    <rPh sb="5" eb="10">
      <t>コウフケッテイガク</t>
    </rPh>
    <phoneticPr fontId="1"/>
  </si>
  <si>
    <t>調整係数
E</t>
    <rPh sb="0" eb="2">
      <t>チョウセイ</t>
    </rPh>
    <rPh sb="2" eb="4">
      <t>ケイスウ</t>
    </rPh>
    <phoneticPr fontId="1"/>
  </si>
  <si>
    <t>基準額
（D×E）
F</t>
    <rPh sb="0" eb="3">
      <t>キジュンガク</t>
    </rPh>
    <phoneticPr fontId="1"/>
  </si>
  <si>
    <t>交付基本額
G</t>
    <rPh sb="0" eb="2">
      <t>コウフ</t>
    </rPh>
    <rPh sb="2" eb="4">
      <t>キホン</t>
    </rPh>
    <rPh sb="4" eb="5">
      <t>ガク</t>
    </rPh>
    <phoneticPr fontId="1"/>
  </si>
  <si>
    <t>交付率
H</t>
    <rPh sb="0" eb="3">
      <t>コウフリツ</t>
    </rPh>
    <phoneticPr fontId="1"/>
  </si>
  <si>
    <t>交付申請額
（G×H）
I</t>
    <rPh sb="0" eb="2">
      <t>コウフ</t>
    </rPh>
    <rPh sb="2" eb="4">
      <t>シンセイ</t>
    </rPh>
    <rPh sb="4" eb="5">
      <t>ガク</t>
    </rPh>
    <phoneticPr fontId="1"/>
  </si>
  <si>
    <t>既交付決定額
J</t>
    <rPh sb="0" eb="1">
      <t>キ</t>
    </rPh>
    <rPh sb="1" eb="6">
      <t>コウフケッテイガク</t>
    </rPh>
    <phoneticPr fontId="1"/>
  </si>
  <si>
    <t>差引
（I-J）
K</t>
    <rPh sb="0" eb="2">
      <t>サシヒキ</t>
    </rPh>
    <phoneticPr fontId="1"/>
  </si>
  <si>
    <t>⑦</t>
    <phoneticPr fontId="2"/>
  </si>
  <si>
    <t>⑧</t>
    <phoneticPr fontId="2"/>
  </si>
  <si>
    <t>１.（2）</t>
  </si>
  <si>
    <t>１.（3）</t>
  </si>
  <si>
    <t>１.（4）</t>
  </si>
  <si>
    <t>１.（5）</t>
  </si>
  <si>
    <t>２.（1）</t>
  </si>
  <si>
    <t>２.（2）</t>
  </si>
  <si>
    <t>２.（3）</t>
  </si>
  <si>
    <t>２.（4）</t>
  </si>
  <si>
    <t>２.（5）</t>
  </si>
  <si>
    <t>３.（1）</t>
  </si>
  <si>
    <t>３.（2）</t>
  </si>
  <si>
    <t>３.（3）</t>
  </si>
  <si>
    <t>３.（4）</t>
  </si>
  <si>
    <t>３.（5）</t>
  </si>
  <si>
    <t>３.（6）</t>
  </si>
  <si>
    <t>４.（1）</t>
  </si>
  <si>
    <t>４.（2）</t>
  </si>
  <si>
    <t xml:space="preserve">   １.（1）　</t>
    <phoneticPr fontId="2"/>
  </si>
  <si>
    <t>令和７年度消費者行政当初予算（一般財源）
（C）</t>
    <rPh sb="0" eb="2">
      <t>レイワ</t>
    </rPh>
    <rPh sb="3" eb="5">
      <t>ネンド</t>
    </rPh>
    <rPh sb="5" eb="8">
      <t>シ</t>
    </rPh>
    <rPh sb="8" eb="10">
      <t>ギョウセイ</t>
    </rPh>
    <rPh sb="10" eb="12">
      <t>トウショ</t>
    </rPh>
    <rPh sb="12" eb="14">
      <t>ヨサン</t>
    </rPh>
    <rPh sb="15" eb="19">
      <t>イッパンザイゲン</t>
    </rPh>
    <phoneticPr fontId="1"/>
  </si>
  <si>
    <t>令和●年度消費者行政当初予算（一般財源）
（D）</t>
    <rPh sb="0" eb="2">
      <t>レイワ</t>
    </rPh>
    <rPh sb="3" eb="5">
      <t>ネンド</t>
    </rPh>
    <rPh sb="5" eb="8">
      <t>シ</t>
    </rPh>
    <rPh sb="8" eb="10">
      <t>ギョウセイ</t>
    </rPh>
    <rPh sb="10" eb="12">
      <t>トウショ</t>
    </rPh>
    <rPh sb="12" eb="14">
      <t>ヨサン</t>
    </rPh>
    <rPh sb="15" eb="19">
      <t>イッパンザイゲン</t>
    </rPh>
    <phoneticPr fontId="1"/>
  </si>
  <si>
    <t>差引
（D-C）</t>
    <rPh sb="0" eb="2">
      <t>サシヒキ</t>
    </rPh>
    <phoneticPr fontId="1"/>
  </si>
  <si>
    <t>自治体名</t>
    <rPh sb="0" eb="3">
      <t>ジチタイ</t>
    </rPh>
    <rPh sb="3" eb="4">
      <t>メイ</t>
    </rPh>
    <phoneticPr fontId="2"/>
  </si>
  <si>
    <t>寄付金その他の
収入予定額
B</t>
    <rPh sb="0" eb="3">
      <t>キフキン</t>
    </rPh>
    <rPh sb="5" eb="6">
      <t>タ</t>
    </rPh>
    <rPh sb="8" eb="10">
      <t>シュウニュウ</t>
    </rPh>
    <rPh sb="10" eb="12">
      <t>ヨテイ</t>
    </rPh>
    <rPh sb="12" eb="13">
      <t>ガク</t>
    </rPh>
    <phoneticPr fontId="1"/>
  </si>
  <si>
    <t>交付申請額
（A）</t>
    <rPh sb="0" eb="2">
      <t>コウフ</t>
    </rPh>
    <rPh sb="2" eb="4">
      <t>シンセイ</t>
    </rPh>
    <rPh sb="4" eb="5">
      <t>ガク</t>
    </rPh>
    <phoneticPr fontId="1"/>
  </si>
  <si>
    <t>既交付決定額
（B）</t>
    <rPh sb="0" eb="1">
      <t>キ</t>
    </rPh>
    <rPh sb="1" eb="6">
      <t>コウフケッテイガク</t>
    </rPh>
    <phoneticPr fontId="1"/>
  </si>
  <si>
    <t>様式１－５　地方消費者行政機能強化事業（⑧）実施計画総括表</t>
    <rPh sb="6" eb="8">
      <t>チホウ</t>
    </rPh>
    <rPh sb="8" eb="11">
      <t>ショウヒシャ</t>
    </rPh>
    <rPh sb="11" eb="13">
      <t>ギョウセイ</t>
    </rPh>
    <rPh sb="13" eb="15">
      <t>キノウ</t>
    </rPh>
    <rPh sb="15" eb="17">
      <t>キョウカ</t>
    </rPh>
    <rPh sb="17" eb="19">
      <t>ジギョウ</t>
    </rPh>
    <rPh sb="22" eb="24">
      <t>ジッシ</t>
    </rPh>
    <rPh sb="24" eb="26">
      <t>ケイカク</t>
    </rPh>
    <rPh sb="26" eb="29">
      <t>ソウカツヒョウ</t>
    </rPh>
    <phoneticPr fontId="2"/>
  </si>
  <si>
    <t>23-001</t>
  </si>
  <si>
    <t>市町村</t>
  </si>
  <si>
    <t>愛知県</t>
  </si>
  <si>
    <t>愛知県サンプル市1</t>
  </si>
  <si>
    <t>消費者行政事業1</t>
  </si>
  <si>
    <t>見守りネットワーク強化</t>
  </si>
  <si>
    <t>当初予算</t>
  </si>
  <si>
    <t>23-002</t>
  </si>
  <si>
    <t>愛知県サンプル市2</t>
  </si>
  <si>
    <t>消費者行政事業2</t>
  </si>
  <si>
    <t>人材育成研修</t>
  </si>
  <si>
    <t>23-003</t>
  </si>
  <si>
    <t>愛知県サンプル市3</t>
  </si>
  <si>
    <t>消費者行政事業3</t>
  </si>
  <si>
    <t>広域連携事業</t>
  </si>
  <si>
    <t>23-004</t>
  </si>
  <si>
    <t>愛知県サンプル市4</t>
  </si>
  <si>
    <t>消費者行政事業4</t>
  </si>
  <si>
    <t>相談体制整備</t>
  </si>
  <si>
    <t>23-005</t>
  </si>
  <si>
    <t>愛知県サンプル市5</t>
  </si>
  <si>
    <t>消費者行政事業5</t>
  </si>
  <si>
    <t>23-006</t>
  </si>
  <si>
    <t>愛知県サンプル市6</t>
  </si>
  <si>
    <t>消費者行政事業6</t>
  </si>
  <si>
    <t>23-007</t>
  </si>
  <si>
    <t>愛知県サンプル市7</t>
  </si>
  <si>
    <t>消費者行政事業7</t>
  </si>
  <si>
    <t>23-008</t>
  </si>
  <si>
    <t>愛知県サンプル市8</t>
  </si>
  <si>
    <t>消費者行政事業8</t>
  </si>
  <si>
    <t>23-009</t>
  </si>
  <si>
    <t>愛知県サンプル市9</t>
  </si>
  <si>
    <t>消費者行政事業9</t>
  </si>
  <si>
    <t>23-010</t>
  </si>
  <si>
    <t>愛知県サンプル市10</t>
  </si>
  <si>
    <t>消費者行政事業10</t>
  </si>
  <si>
    <t>13-001</t>
  </si>
  <si>
    <t>東京都</t>
  </si>
  <si>
    <t>東京都サンプル市1</t>
  </si>
  <si>
    <t>13-002</t>
  </si>
  <si>
    <t>東京都サンプル市2</t>
  </si>
  <si>
    <t>13-003</t>
  </si>
  <si>
    <t>東京都サンプル市3</t>
  </si>
  <si>
    <t>13-004</t>
  </si>
  <si>
    <t>東京都サンプル市4</t>
  </si>
  <si>
    <t>13-005</t>
  </si>
  <si>
    <t>東京都サンプル市5</t>
  </si>
  <si>
    <t>13-006</t>
  </si>
  <si>
    <t>東京都サンプル市6</t>
  </si>
  <si>
    <t>13-007</t>
  </si>
  <si>
    <t>東京都サンプル市7</t>
  </si>
  <si>
    <t>13-008</t>
  </si>
  <si>
    <t>東京都サンプル市8</t>
  </si>
  <si>
    <t>13-009</t>
  </si>
  <si>
    <t>東京都サンプル市9</t>
  </si>
  <si>
    <t>13-010</t>
  </si>
  <si>
    <t>東京都サンプル市10</t>
  </si>
  <si>
    <t>27-001</t>
  </si>
  <si>
    <t>大阪府</t>
  </si>
  <si>
    <t>大阪府サンプル市1</t>
  </si>
  <si>
    <t>27-002</t>
  </si>
  <si>
    <t>大阪府サンプル市2</t>
  </si>
  <si>
    <t>27-003</t>
  </si>
  <si>
    <t>大阪府サンプル市3</t>
  </si>
  <si>
    <t>27-004</t>
  </si>
  <si>
    <t>大阪府サンプル市4</t>
  </si>
  <si>
    <t>27-005</t>
  </si>
  <si>
    <t>大阪府サンプル市5</t>
  </si>
  <si>
    <t>27-006</t>
  </si>
  <si>
    <t>大阪府サンプル市6</t>
  </si>
  <si>
    <t>27-007</t>
  </si>
  <si>
    <t>大阪府サンプル市7</t>
  </si>
  <si>
    <t>27-008</t>
  </si>
  <si>
    <t>大阪府サンプル市8</t>
  </si>
  <si>
    <t>27-009</t>
  </si>
  <si>
    <t>大阪府サンプル市9</t>
  </si>
  <si>
    <t>27-010</t>
  </si>
  <si>
    <t>大阪府サンプル市10</t>
  </si>
  <si>
    <t>相談体制強化型</t>
  </si>
  <si>
    <t>消費者行政推進事業1</t>
  </si>
  <si>
    <t>相談体制強化</t>
  </si>
  <si>
    <t>消費生活相談員の配置・研修</t>
  </si>
  <si>
    <t>人件費・委託費</t>
  </si>
  <si>
    <t>消費者行政推進事業2</t>
  </si>
  <si>
    <t>消費者行政推進事業3</t>
  </si>
  <si>
    <t>消費者行政推進事業4</t>
  </si>
  <si>
    <t>消費者行政推進事業5</t>
  </si>
  <si>
    <t>消費者行政推進事業6</t>
  </si>
  <si>
    <t>消費者行政推進事業7</t>
  </si>
  <si>
    <t>消費者行政推進事業8</t>
  </si>
  <si>
    <t>消費者行政推進事業9</t>
  </si>
  <si>
    <t>消費者行政推進事業10</t>
  </si>
  <si>
    <t>フォルダパス：</t>
    <phoneticPr fontId="2"/>
  </si>
  <si>
    <t>実行画面</t>
    <phoneticPr fontId="2"/>
  </si>
  <si>
    <t>対象シート：「実施計画書一覧」シート</t>
    <rPh sb="0" eb="2">
      <t>タイショウ</t>
    </rPh>
    <rPh sb="7" eb="9">
      <t>ジッシ</t>
    </rPh>
    <rPh sb="9" eb="12">
      <t>ケイカクショ</t>
    </rPh>
    <rPh sb="12" eb="14">
      <t>イチラン</t>
    </rPh>
    <phoneticPr fontId="2"/>
  </si>
  <si>
    <t>手順</t>
    <rPh sb="0" eb="2">
      <t>テジュン</t>
    </rPh>
    <phoneticPr fontId="2"/>
  </si>
  <si>
    <t>ボタン</t>
    <phoneticPr fontId="2"/>
  </si>
  <si>
    <t>機能</t>
    <rPh sb="0" eb="2">
      <t>キノウ</t>
    </rPh>
    <phoneticPr fontId="2"/>
  </si>
  <si>
    <t>使い方</t>
    <rPh sb="0" eb="1">
      <t>ツカ</t>
    </rPh>
    <rPh sb="2" eb="3">
      <t>カタ</t>
    </rPh>
    <phoneticPr fontId="2"/>
  </si>
  <si>
    <t>注意事項</t>
    <rPh sb="0" eb="2">
      <t>チュウイ</t>
    </rPh>
    <rPh sb="2" eb="4">
      <t>ジコウ</t>
    </rPh>
    <phoneticPr fontId="2"/>
  </si>
  <si>
    <t>C:\Users\yuuta\デスクトップ</t>
  </si>
  <si>
    <t>このマクロは、指定されたフォルダ内の複数のExcelファイルから「様式１－２」～「様式１－５」シートのデータを読み取り、現在のワークブックの「様式１-２」～「様式１-５」シートに連結・集約する処理を実行します。</t>
    <phoneticPr fontId="2"/>
  </si>
  <si>
    <t>1. 「選択」ボタンをクリックし、集約対象となるExcelファイルが保存されているフォルダを選択してください。
2. 「実行」ボタンをクリックしてください。
3. マクロが実行されシートが更新されます。処理完了後、実行結果に問題がないか確認してください。</t>
    <rPh sb="92" eb="94">
      <t>ジッコウ</t>
    </rPh>
    <rPh sb="113" eb="115">
      <t>ジッコウ</t>
    </rPh>
    <rPh sb="115" eb="117">
      <t>ケッカ</t>
    </rPh>
    <rPh sb="118" eb="120">
      <t>モンダイ</t>
    </rPh>
    <rPh sb="124" eb="126">
      <t>カクニン</t>
    </rPh>
    <phoneticPr fontId="2"/>
  </si>
  <si>
    <t>指定したフォルダ内の計画書から、様式シートのデータを本Excelに集約します。</t>
    <rPh sb="16" eb="18">
      <t>ヨウシキ</t>
    </rPh>
    <rPh sb="26" eb="27">
      <t>ホン</t>
    </rPh>
    <rPh sb="33" eb="35">
      <t>シュウヤク</t>
    </rPh>
    <phoneticPr fontId="2"/>
  </si>
  <si>
    <t>1. 「実行」ボタンをクリックします。
2. 「完了しました」と表示されたら処理は完了です。</t>
    <rPh sb="4" eb="6">
      <t>ジッコウ</t>
    </rPh>
    <phoneticPr fontId="2"/>
  </si>
  <si>
    <t>1. 「選択」ボタンをクリックします。
2. フォルダ選択画面で、計画書が保存されているフォルダを選択します。
3. フォルダパス欄にパスが表示されれば完了です。</t>
    <rPh sb="4" eb="6">
      <t>センタク</t>
    </rPh>
    <rPh sb="27" eb="29">
      <t>センタク</t>
    </rPh>
    <rPh sb="29" eb="31">
      <t>ガメン</t>
    </rPh>
    <rPh sb="33" eb="36">
      <t>ケイカクショ</t>
    </rPh>
    <rPh sb="37" eb="39">
      <t>ホゾン</t>
    </rPh>
    <rPh sb="49" eb="51">
      <t>センタク</t>
    </rPh>
    <phoneticPr fontId="2"/>
  </si>
  <si>
    <t>計画書が保存されているフォルダを選択します。</t>
    <phoneticPr fontId="2"/>
  </si>
  <si>
    <r>
      <t>・様式シートのデータコピー範囲は</t>
    </r>
    <r>
      <rPr>
        <b/>
        <u/>
        <sz val="10"/>
        <color theme="1"/>
        <rFont val="游ゴシック"/>
        <family val="3"/>
        <charset val="128"/>
        <scheme val="minor"/>
      </rPr>
      <t>固定（ハードコード）さ</t>
    </r>
    <r>
      <rPr>
        <b/>
        <sz val="10"/>
        <color theme="1"/>
        <rFont val="游ゴシック"/>
        <family val="3"/>
        <charset val="128"/>
        <scheme val="minor"/>
      </rPr>
      <t>れています。そのため、計画書のExcelファイルのレイアウトが崩れていたり、行・列がズレていると正しく実行されません。
・選択したフォルダ内にExcelファイルが存在しない場合、エラーになります。また、セル D8 はフォルダパスの入力欄です。ここが空白の場合もエラーとなります。
・計画書内に</t>
    </r>
    <r>
      <rPr>
        <b/>
        <u/>
        <sz val="10"/>
        <color theme="1"/>
        <rFont val="游ゴシック"/>
        <family val="3"/>
        <charset val="128"/>
        <scheme val="minor"/>
      </rPr>
      <t>欠け（虫食い）</t>
    </r>
    <r>
      <rPr>
        <b/>
        <sz val="10"/>
        <color theme="1"/>
        <rFont val="游ゴシック"/>
        <family val="3"/>
        <charset val="128"/>
        <scheme val="minor"/>
      </rPr>
      <t>があると、正しく処理できません。データは上から詰めて入力してください。</t>
    </r>
    <rPh sb="13" eb="15">
      <t>ハンイ</t>
    </rPh>
    <rPh sb="82" eb="84">
      <t>センタククウギョウ</t>
    </rPh>
    <phoneticPr fontId="2"/>
  </si>
  <si>
    <t>大阪府サンプル市10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</si>
</sst>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quot;▲ &quot;#,##0"/>
  </numFmts>
  <fonts count="15">
    <font>
      <sz val="11"/>
      <color theme="1"/>
      <name val="游ゴシック"/>
      <family val="2"/>
      <charset val="128"/>
      <scheme val="minor"/>
    </font>
    <font>
      <sz val="11"/>
      <name val="游ゴシック"/>
      <family val="2"/>
      <charset val="128"/>
      <scheme val="minor"/>
    </font>
    <font>
      <sz val="6"/>
      <name val="游ゴシック"/>
      <family val="2"/>
      <charset val="128"/>
      <scheme val="minor"/>
    </font>
    <font>
      <sz val="11"/>
      <name val="游ゴシック"/>
      <family val="3"/>
      <charset val="128"/>
      <scheme val="minor"/>
    </font>
    <font>
      <b/>
      <sz val="11"/>
      <color theme="1"/>
      <name val="游ゴシック"/>
      <family val="3"/>
      <charset val="128"/>
      <scheme val="minor"/>
    </font>
    <font>
      <sz val="11"/>
      <color theme="1"/>
      <name val="游ゴシック"/>
      <family val="3"/>
      <charset val="128"/>
      <scheme val="minor"/>
    </font>
    <font>
      <sz val="11"/>
      <color theme="1"/>
      <name val="游ゴシック"/>
      <family val="2"/>
      <charset val="128"/>
      <scheme val="minor"/>
    </font>
    <font>
      <b/>
      <sz val="12"/>
      <color theme="1"/>
      <name val="游ゴシック"/>
      <family val="3"/>
      <charset val="128"/>
      <scheme val="minor"/>
    </font>
    <font>
      <b/>
      <sz val="10"/>
      <color theme="1"/>
      <name val="游ゴシック"/>
      <family val="3"/>
      <charset val="128"/>
      <scheme val="minor"/>
    </font>
    <font>
      <sz val="10"/>
      <color theme="1"/>
      <name val="ＭＳ ゴシック"/>
      <family val="3"/>
      <charset val="128"/>
    </font>
    <font>
      <sz val="11"/>
      <color theme="1"/>
      <name val="ＭＳ ゴシック"/>
      <family val="3"/>
      <charset val="128"/>
    </font>
    <font>
      <b/>
      <sz val="14"/>
      <color theme="1"/>
      <name val="游ゴシック"/>
      <family val="3"/>
      <charset val="128"/>
      <scheme val="minor"/>
    </font>
    <font>
      <sz val="11"/>
      <color rgb="FF000000"/>
      <name val="游ゴシック"/>
      <family val="3"/>
      <charset val="128"/>
    </font>
    <font>
      <sz val="10"/>
      <color theme="1"/>
      <name val="游ゴシック"/>
      <family val="3"/>
      <charset val="128"/>
      <scheme val="minor"/>
    </font>
    <font>
      <b/>
      <u/>
      <sz val="10"/>
      <color theme="1"/>
      <name val="游ゴシック"/>
      <family val="3"/>
      <charset val="128"/>
      <scheme val="minor"/>
    </font>
  </fonts>
  <fills count="8">
    <fill>
      <patternFill patternType="none"/>
    </fill>
    <fill>
      <patternFill patternType="gray125"/>
    </fill>
    <fill>
      <patternFill patternType="solid">
        <fgColor rgb="FFFEE9D2"/>
        <bgColor indexed="64"/>
      </patternFill>
    </fill>
    <fill>
      <patternFill patternType="solid">
        <fgColor rgb="FFECFFEB"/>
        <bgColor indexed="64"/>
      </patternFill>
    </fill>
    <fill>
      <patternFill patternType="solid">
        <fgColor rgb="FFEBF7FF"/>
        <bgColor indexed="64"/>
      </patternFill>
    </fill>
    <fill>
      <patternFill patternType="solid">
        <fgColor rgb="FFFFFFB3"/>
        <bgColor indexed="64"/>
      </patternFill>
    </fill>
    <fill>
      <patternFill patternType="solid">
        <fgColor theme="0"/>
        <bgColor indexed="64"/>
      </patternFill>
    </fill>
    <fill>
      <patternFill patternType="solid">
        <fgColor theme="5" tint="0.39997558519241921"/>
        <bgColor indexed="64"/>
      </patternFill>
    </fill>
  </fills>
  <borders count="77">
    <border>
      <left/>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top style="thin">
        <color indexed="64"/>
      </top>
      <bottom/>
      <diagonal/>
    </border>
    <border>
      <left style="thin">
        <color auto="1"/>
      </left>
      <right style="hair">
        <color indexed="64"/>
      </right>
      <top style="thin">
        <color indexed="64"/>
      </top>
      <bottom style="thin">
        <color auto="1"/>
      </bottom>
      <diagonal/>
    </border>
    <border>
      <left/>
      <right/>
      <top style="thin">
        <color auto="1"/>
      </top>
      <bottom style="thin">
        <color auto="1"/>
      </bottom>
      <diagonal/>
    </border>
    <border>
      <left style="hair">
        <color indexed="64"/>
      </left>
      <right style="hair">
        <color indexed="64"/>
      </right>
      <top style="thin">
        <color auto="1"/>
      </top>
      <bottom style="thin">
        <color auto="1"/>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top style="medium">
        <color indexed="64"/>
      </top>
      <bottom/>
      <diagonal/>
    </border>
    <border>
      <left style="thin">
        <color auto="1"/>
      </left>
      <right/>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style="thin">
        <color auto="1"/>
      </left>
      <right style="hair">
        <color indexed="64"/>
      </right>
      <top style="thin">
        <color indexed="64"/>
      </top>
      <bottom/>
      <diagonal/>
    </border>
    <border>
      <left style="hair">
        <color indexed="64"/>
      </left>
      <right style="hair">
        <color indexed="64"/>
      </right>
      <top style="thin">
        <color auto="1"/>
      </top>
      <bottom/>
      <diagonal/>
    </border>
    <border>
      <left style="medium">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hair">
        <color indexed="64"/>
      </right>
      <top style="medium">
        <color indexed="64"/>
      </top>
      <bottom style="medium">
        <color indexed="64"/>
      </bottom>
      <diagonal/>
    </border>
    <border>
      <left/>
      <right/>
      <top style="medium">
        <color indexed="64"/>
      </top>
      <bottom style="medium">
        <color indexed="64"/>
      </bottom>
      <diagonal/>
    </border>
    <border>
      <left style="hair">
        <color indexed="64"/>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medium">
        <color indexed="64"/>
      </right>
      <top/>
      <bottom style="thin">
        <color auto="1"/>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hair">
        <color indexed="64"/>
      </right>
      <top/>
      <bottom style="thin">
        <color auto="1"/>
      </bottom>
      <diagonal/>
    </border>
    <border>
      <left style="hair">
        <color indexed="64"/>
      </left>
      <right style="hair">
        <color indexed="64"/>
      </right>
      <top/>
      <bottom style="thin">
        <color auto="1"/>
      </bottom>
      <diagonal/>
    </border>
    <border>
      <left/>
      <right/>
      <top style="medium">
        <color indexed="64"/>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thin">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thin">
        <color auto="1"/>
      </left>
      <right/>
      <top/>
      <bottom/>
      <diagonal/>
    </border>
    <border>
      <left style="medium">
        <color indexed="64"/>
      </left>
      <right/>
      <top style="medium">
        <color indexed="64"/>
      </top>
      <bottom/>
      <diagonal/>
    </border>
    <border>
      <left style="medium">
        <color indexed="64"/>
      </left>
      <right/>
      <top style="thin">
        <color auto="1"/>
      </top>
      <bottom style="thin">
        <color auto="1"/>
      </bottom>
      <diagonal/>
    </border>
    <border>
      <left style="medium">
        <color indexed="64"/>
      </left>
      <right style="thin">
        <color auto="1"/>
      </right>
      <top/>
      <bottom/>
      <diagonal/>
    </border>
    <border>
      <left style="medium">
        <color indexed="64"/>
      </left>
      <right/>
      <top/>
      <bottom style="medium">
        <color indexed="64"/>
      </bottom>
      <diagonal/>
    </border>
    <border>
      <left style="thin">
        <color auto="1"/>
      </left>
      <right style="medium">
        <color indexed="64"/>
      </right>
      <top/>
      <bottom/>
      <diagonal/>
    </border>
    <border>
      <left style="thin">
        <color auto="1"/>
      </left>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medium">
        <color indexed="64"/>
      </left>
      <right/>
      <top style="thin">
        <color auto="1"/>
      </top>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indexed="64"/>
      </left>
      <right/>
      <top style="thin">
        <color indexed="64"/>
      </top>
      <bottom style="thin">
        <color indexed="64"/>
      </bottom>
      <diagonal/>
    </border>
    <border>
      <left style="medium">
        <color indexed="64"/>
      </left>
      <right/>
      <top style="medium">
        <color indexed="64"/>
      </top>
      <bottom style="thin">
        <color auto="1"/>
      </bottom>
      <diagonal/>
    </border>
    <border>
      <left/>
      <right style="medium">
        <color indexed="64"/>
      </right>
      <top/>
      <bottom style="medium">
        <color indexed="64"/>
      </bottom>
      <diagonal/>
    </border>
    <border>
      <left/>
      <right style="thin">
        <color auto="1"/>
      </right>
      <top style="thin">
        <color auto="1"/>
      </top>
      <bottom style="medium">
        <color indexed="64"/>
      </bottom>
      <diagonal/>
    </border>
    <border diagonalUp="1">
      <left style="thin">
        <color auto="1"/>
      </left>
      <right style="thin">
        <color auto="1"/>
      </right>
      <top style="medium">
        <color indexed="64"/>
      </top>
      <bottom style="medium">
        <color indexed="64"/>
      </bottom>
      <diagonal style="thin">
        <color auto="1"/>
      </diagonal>
    </border>
  </borders>
  <cellStyleXfs count="3">
    <xf numFmtId="0" fontId="0" fillId="0" borderId="0">
      <alignment vertical="center"/>
    </xf>
    <xf numFmtId="38" fontId="6" fillId="0" borderId="0" applyFont="0" applyFill="0" applyBorder="0" applyAlignment="0" applyProtection="0">
      <alignment vertical="center"/>
    </xf>
    <xf numFmtId="0" fontId="5" fillId="0" borderId="0">
      <alignment vertical="center"/>
    </xf>
  </cellStyleXfs>
  <cellXfs count="190">
    <xf numFmtId="0" fontId="0" fillId="0" borderId="0" xfId="0">
      <alignment vertical="center"/>
    </xf>
    <xf numFmtId="0" fontId="4" fillId="0" borderId="0" xfId="0" applyFont="1">
      <alignment vertical="center"/>
    </xf>
    <xf numFmtId="0" fontId="5" fillId="0" borderId="0" xfId="0" applyFont="1">
      <alignment vertical="center"/>
    </xf>
    <xf numFmtId="0" fontId="7" fillId="0" borderId="0" xfId="0" applyFont="1">
      <alignment vertical="center"/>
    </xf>
    <xf numFmtId="0" fontId="5" fillId="0" borderId="0" xfId="0" applyFont="1" applyAlignment="1">
      <alignment horizontal="right" vertical="center"/>
    </xf>
    <xf numFmtId="0" fontId="5" fillId="0" borderId="0" xfId="0" applyFont="1" applyAlignment="1">
      <alignment horizontal="right" vertical="center" wrapText="1"/>
    </xf>
    <xf numFmtId="0" fontId="5" fillId="0" borderId="0" xfId="0" applyFont="1" applyAlignment="1">
      <alignment horizontal="center" vertical="center"/>
    </xf>
    <xf numFmtId="0" fontId="5" fillId="0" borderId="9" xfId="0" applyFont="1" applyBorder="1">
      <alignment vertical="center"/>
    </xf>
    <xf numFmtId="176" fontId="5" fillId="0" borderId="13" xfId="0" applyNumberFormat="1" applyFont="1" applyBorder="1">
      <alignment vertical="center"/>
    </xf>
    <xf numFmtId="176" fontId="5" fillId="0" borderId="15" xfId="0" applyNumberFormat="1" applyFont="1" applyBorder="1">
      <alignment vertical="center"/>
    </xf>
    <xf numFmtId="176" fontId="5" fillId="0" borderId="0" xfId="0" applyNumberFormat="1" applyFont="1">
      <alignment vertical="center"/>
    </xf>
    <xf numFmtId="0" fontId="5" fillId="0" borderId="8" xfId="0" applyFont="1" applyBorder="1">
      <alignment vertical="center"/>
    </xf>
    <xf numFmtId="38" fontId="5" fillId="0" borderId="8" xfId="1" applyFont="1" applyFill="1" applyBorder="1">
      <alignment vertical="center"/>
    </xf>
    <xf numFmtId="0" fontId="5" fillId="0" borderId="7" xfId="0" applyFont="1" applyBorder="1">
      <alignment vertical="center"/>
    </xf>
    <xf numFmtId="38" fontId="5" fillId="0" borderId="7" xfId="1" applyFont="1" applyFill="1" applyBorder="1">
      <alignment vertical="center"/>
    </xf>
    <xf numFmtId="176" fontId="5" fillId="0" borderId="31" xfId="0" applyNumberFormat="1" applyFont="1" applyBorder="1">
      <alignment vertical="center"/>
    </xf>
    <xf numFmtId="176" fontId="5" fillId="0" borderId="32" xfId="0" applyNumberFormat="1" applyFont="1" applyBorder="1">
      <alignment vertical="center"/>
    </xf>
    <xf numFmtId="176" fontId="5" fillId="0" borderId="35" xfId="0" applyNumberFormat="1" applyFont="1" applyBorder="1" applyAlignment="1">
      <alignment horizontal="right" vertical="center"/>
    </xf>
    <xf numFmtId="176" fontId="5" fillId="0" borderId="36" xfId="0" applyNumberFormat="1" applyFont="1" applyBorder="1" applyAlignment="1">
      <alignment horizontal="right" vertical="center"/>
    </xf>
    <xf numFmtId="176" fontId="5" fillId="0" borderId="38" xfId="0" applyNumberFormat="1" applyFont="1" applyBorder="1" applyAlignment="1">
      <alignment horizontal="right" vertical="center"/>
    </xf>
    <xf numFmtId="176" fontId="5" fillId="0" borderId="39" xfId="0" applyNumberFormat="1" applyFont="1" applyBorder="1" applyAlignment="1">
      <alignment horizontal="right" vertical="center"/>
    </xf>
    <xf numFmtId="176" fontId="5" fillId="0" borderId="41" xfId="0" applyNumberFormat="1" applyFont="1" applyBorder="1" applyAlignment="1">
      <alignment horizontal="right" vertical="center"/>
    </xf>
    <xf numFmtId="176" fontId="5" fillId="3" borderId="14" xfId="0" applyNumberFormat="1" applyFont="1" applyFill="1" applyBorder="1">
      <alignment vertical="center"/>
    </xf>
    <xf numFmtId="176" fontId="5" fillId="3" borderId="12" xfId="0" applyNumberFormat="1" applyFont="1" applyFill="1" applyBorder="1">
      <alignment vertical="center"/>
    </xf>
    <xf numFmtId="176" fontId="5" fillId="3" borderId="37" xfId="0" applyNumberFormat="1" applyFont="1" applyFill="1" applyBorder="1" applyAlignment="1">
      <alignment horizontal="right" vertical="center"/>
    </xf>
    <xf numFmtId="176" fontId="5" fillId="3" borderId="40" xfId="0" applyNumberFormat="1" applyFont="1" applyFill="1" applyBorder="1" applyAlignment="1">
      <alignment horizontal="right" vertical="center"/>
    </xf>
    <xf numFmtId="177" fontId="5" fillId="2" borderId="27" xfId="0" applyNumberFormat="1" applyFont="1" applyFill="1" applyBorder="1" applyAlignment="1">
      <alignment horizontal="right" vertical="center"/>
    </xf>
    <xf numFmtId="0" fontId="5" fillId="3" borderId="0" xfId="0" applyFont="1" applyFill="1">
      <alignment vertical="center"/>
    </xf>
    <xf numFmtId="176" fontId="5" fillId="3" borderId="41" xfId="0" applyNumberFormat="1" applyFont="1" applyFill="1" applyBorder="1" applyAlignment="1">
      <alignment horizontal="right" vertical="center"/>
    </xf>
    <xf numFmtId="176" fontId="5" fillId="4" borderId="9" xfId="0" applyNumberFormat="1" applyFont="1" applyFill="1" applyBorder="1">
      <alignment vertical="center"/>
    </xf>
    <xf numFmtId="176" fontId="5" fillId="4" borderId="11" xfId="0" applyNumberFormat="1" applyFont="1" applyFill="1" applyBorder="1">
      <alignment vertical="center"/>
    </xf>
    <xf numFmtId="176" fontId="5" fillId="4" borderId="34" xfId="0" applyNumberFormat="1" applyFont="1" applyFill="1" applyBorder="1" applyAlignment="1">
      <alignment horizontal="right" vertical="center"/>
    </xf>
    <xf numFmtId="0" fontId="5" fillId="5" borderId="47" xfId="0" applyFont="1" applyFill="1" applyBorder="1" applyAlignment="1">
      <alignment horizontal="center" vertical="center" wrapText="1"/>
    </xf>
    <xf numFmtId="176" fontId="5" fillId="3" borderId="45" xfId="0" applyNumberFormat="1" applyFont="1" applyFill="1" applyBorder="1">
      <alignment vertical="center"/>
    </xf>
    <xf numFmtId="176" fontId="5" fillId="3" borderId="23" xfId="0" applyNumberFormat="1" applyFont="1" applyFill="1" applyBorder="1" applyAlignment="1">
      <alignment horizontal="right" vertical="center"/>
    </xf>
    <xf numFmtId="176" fontId="5" fillId="0" borderId="48" xfId="0" applyNumberFormat="1" applyFont="1" applyBorder="1">
      <alignment vertical="center"/>
    </xf>
    <xf numFmtId="176" fontId="5" fillId="0" borderId="49" xfId="0" applyNumberFormat="1" applyFont="1" applyBorder="1">
      <alignment vertical="center"/>
    </xf>
    <xf numFmtId="176" fontId="5" fillId="3" borderId="44" xfId="0" applyNumberFormat="1" applyFont="1" applyFill="1" applyBorder="1">
      <alignment vertical="center"/>
    </xf>
    <xf numFmtId="176" fontId="5" fillId="3" borderId="42" xfId="0" applyNumberFormat="1" applyFont="1" applyFill="1" applyBorder="1">
      <alignment vertical="center"/>
    </xf>
    <xf numFmtId="176" fontId="5" fillId="4" borderId="43" xfId="0" applyNumberFormat="1" applyFont="1" applyFill="1" applyBorder="1">
      <alignment vertical="center"/>
    </xf>
    <xf numFmtId="0" fontId="5" fillId="5" borderId="16" xfId="0" applyFont="1" applyFill="1" applyBorder="1" applyAlignment="1">
      <alignment horizontal="center" vertical="center"/>
    </xf>
    <xf numFmtId="0" fontId="5" fillId="5" borderId="20" xfId="0" applyFont="1" applyFill="1" applyBorder="1" applyAlignment="1">
      <alignment horizontal="centerContinuous" vertical="center"/>
    </xf>
    <xf numFmtId="0" fontId="5" fillId="5" borderId="28" xfId="0" applyFont="1" applyFill="1" applyBorder="1" applyAlignment="1">
      <alignment horizontal="centerContinuous" vertical="center" wrapText="1"/>
    </xf>
    <xf numFmtId="0" fontId="5" fillId="5" borderId="50" xfId="0" applyFont="1" applyFill="1" applyBorder="1" applyAlignment="1">
      <alignment horizontal="centerContinuous" vertical="center" wrapText="1"/>
    </xf>
    <xf numFmtId="0" fontId="5" fillId="5" borderId="17" xfId="0" applyFont="1" applyFill="1" applyBorder="1" applyAlignment="1">
      <alignment horizontal="center" vertical="center"/>
    </xf>
    <xf numFmtId="0" fontId="5" fillId="5" borderId="51" xfId="0" applyFont="1" applyFill="1" applyBorder="1" applyAlignment="1">
      <alignment horizontal="center" vertical="center"/>
    </xf>
    <xf numFmtId="0" fontId="5" fillId="5" borderId="52" xfId="0" applyFont="1" applyFill="1" applyBorder="1" applyAlignment="1">
      <alignment horizontal="center" vertical="center" wrapText="1"/>
    </xf>
    <xf numFmtId="0" fontId="5" fillId="5" borderId="53" xfId="0" applyFont="1" applyFill="1" applyBorder="1" applyAlignment="1">
      <alignment horizontal="center" vertical="center" wrapText="1"/>
    </xf>
    <xf numFmtId="0" fontId="5" fillId="5" borderId="46" xfId="0" applyFont="1" applyFill="1" applyBorder="1" applyAlignment="1">
      <alignment horizontal="center" vertical="center" wrapText="1"/>
    </xf>
    <xf numFmtId="0" fontId="5" fillId="0" borderId="43" xfId="0" applyFont="1" applyBorder="1">
      <alignment vertical="center"/>
    </xf>
    <xf numFmtId="0" fontId="5" fillId="0" borderId="56" xfId="0" applyFont="1" applyBorder="1">
      <alignment vertical="center"/>
    </xf>
    <xf numFmtId="0" fontId="5" fillId="0" borderId="58" xfId="0" applyFont="1" applyBorder="1">
      <alignment vertical="center"/>
    </xf>
    <xf numFmtId="0" fontId="5" fillId="0" borderId="55" xfId="0" applyFont="1" applyBorder="1">
      <alignment vertical="center"/>
    </xf>
    <xf numFmtId="177" fontId="5" fillId="2" borderId="30" xfId="0" applyNumberFormat="1" applyFont="1" applyFill="1" applyBorder="1">
      <alignment vertical="center"/>
    </xf>
    <xf numFmtId="0" fontId="5" fillId="0" borderId="29" xfId="0" applyFont="1" applyBorder="1">
      <alignment vertical="center"/>
    </xf>
    <xf numFmtId="177" fontId="5" fillId="2" borderId="56" xfId="0" applyNumberFormat="1" applyFont="1" applyFill="1" applyBorder="1">
      <alignment vertical="center"/>
    </xf>
    <xf numFmtId="0" fontId="5" fillId="0" borderId="57" xfId="0" applyFont="1" applyBorder="1">
      <alignment vertical="center"/>
    </xf>
    <xf numFmtId="177" fontId="5" fillId="2" borderId="58" xfId="0" applyNumberFormat="1" applyFont="1" applyFill="1" applyBorder="1">
      <alignment vertical="center"/>
    </xf>
    <xf numFmtId="0" fontId="5" fillId="5" borderId="28"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11" xfId="0" applyFont="1" applyBorder="1">
      <alignment vertical="center"/>
    </xf>
    <xf numFmtId="176" fontId="5" fillId="0" borderId="34" xfId="0" applyNumberFormat="1" applyFont="1" applyBorder="1" applyAlignment="1">
      <alignment horizontal="right" vertical="center"/>
    </xf>
    <xf numFmtId="0" fontId="5" fillId="5" borderId="24" xfId="0" applyFont="1" applyFill="1" applyBorder="1" applyAlignment="1">
      <alignment horizontal="center" vertical="center" shrinkToFit="1"/>
    </xf>
    <xf numFmtId="0" fontId="5" fillId="5" borderId="25" xfId="0" applyFont="1" applyFill="1" applyBorder="1" applyAlignment="1">
      <alignment horizontal="center" vertical="center" shrinkToFit="1"/>
    </xf>
    <xf numFmtId="0" fontId="5" fillId="0" borderId="30" xfId="0" applyFont="1" applyBorder="1">
      <alignment vertical="center"/>
    </xf>
    <xf numFmtId="0" fontId="5" fillId="5" borderId="5" xfId="0" applyFont="1" applyFill="1" applyBorder="1" applyAlignment="1">
      <alignment horizontal="center" vertical="center" wrapText="1"/>
    </xf>
    <xf numFmtId="0" fontId="5" fillId="5" borderId="2" xfId="0" applyFont="1" applyFill="1" applyBorder="1" applyAlignment="1">
      <alignment horizontal="centerContinuous" vertical="center"/>
    </xf>
    <xf numFmtId="0" fontId="5" fillId="5" borderId="2" xfId="0" applyFont="1" applyFill="1" applyBorder="1" applyAlignment="1">
      <alignment horizontal="centerContinuous" vertical="center" wrapText="1"/>
    </xf>
    <xf numFmtId="0" fontId="5" fillId="5" borderId="18" xfId="0" applyFont="1" applyFill="1" applyBorder="1" applyAlignment="1">
      <alignment horizontal="centerContinuous" vertical="center" wrapText="1"/>
    </xf>
    <xf numFmtId="0" fontId="5" fillId="5" borderId="5" xfId="0" applyFont="1" applyFill="1" applyBorder="1" applyAlignment="1">
      <alignment horizontal="center" vertical="center"/>
    </xf>
    <xf numFmtId="0" fontId="5" fillId="5" borderId="19" xfId="0" applyFont="1" applyFill="1" applyBorder="1" applyAlignment="1">
      <alignment horizontal="center" vertical="center" wrapText="1"/>
    </xf>
    <xf numFmtId="0" fontId="5" fillId="0" borderId="10" xfId="0" applyFont="1" applyBorder="1">
      <alignment vertical="center"/>
    </xf>
    <xf numFmtId="38" fontId="5" fillId="0" borderId="10" xfId="1" applyFont="1" applyFill="1" applyBorder="1">
      <alignment vertical="center"/>
    </xf>
    <xf numFmtId="38" fontId="5" fillId="3" borderId="30" xfId="0" applyNumberFormat="1" applyFont="1" applyFill="1" applyBorder="1">
      <alignment vertical="center"/>
    </xf>
    <xf numFmtId="38" fontId="5" fillId="3" borderId="65" xfId="0" applyNumberFormat="1" applyFont="1" applyFill="1" applyBorder="1">
      <alignment vertical="center"/>
    </xf>
    <xf numFmtId="38" fontId="5" fillId="0" borderId="7" xfId="1" applyFont="1" applyBorder="1" applyAlignment="1">
      <alignment horizontal="right" vertical="center"/>
    </xf>
    <xf numFmtId="38" fontId="5" fillId="0" borderId="8" xfId="1" applyFont="1" applyBorder="1" applyAlignment="1">
      <alignment horizontal="right" vertical="center"/>
    </xf>
    <xf numFmtId="38" fontId="5" fillId="0" borderId="10" xfId="1" applyFont="1" applyBorder="1" applyAlignment="1">
      <alignment horizontal="right" vertical="center"/>
    </xf>
    <xf numFmtId="0" fontId="9" fillId="6" borderId="0" xfId="0" applyFont="1" applyFill="1">
      <alignment vertical="center"/>
    </xf>
    <xf numFmtId="38" fontId="4" fillId="0" borderId="0" xfId="1" applyFont="1">
      <alignment vertical="center"/>
    </xf>
    <xf numFmtId="38" fontId="5" fillId="0" borderId="0" xfId="1" applyFont="1">
      <alignment vertical="center"/>
    </xf>
    <xf numFmtId="38" fontId="5" fillId="3" borderId="0" xfId="1" applyFont="1" applyFill="1">
      <alignment vertical="center"/>
    </xf>
    <xf numFmtId="38" fontId="9" fillId="6" borderId="0" xfId="1" applyFont="1" applyFill="1">
      <alignment vertical="center"/>
    </xf>
    <xf numFmtId="38" fontId="5" fillId="0" borderId="0" xfId="1" applyFont="1" applyAlignment="1">
      <alignment horizontal="right" vertical="center"/>
    </xf>
    <xf numFmtId="0" fontId="8" fillId="6" borderId="0" xfId="0" applyFont="1" applyFill="1">
      <alignment vertical="center"/>
    </xf>
    <xf numFmtId="38" fontId="5" fillId="3" borderId="67" xfId="1" applyFont="1" applyFill="1" applyBorder="1" applyAlignment="1">
      <alignment horizontal="center" vertical="top" wrapText="1"/>
    </xf>
    <xf numFmtId="38" fontId="5" fillId="3" borderId="26" xfId="1" applyFont="1" applyFill="1" applyBorder="1" applyAlignment="1">
      <alignment horizontal="center" vertical="top" wrapText="1"/>
    </xf>
    <xf numFmtId="38" fontId="5" fillId="3" borderId="27" xfId="1" applyFont="1" applyFill="1" applyBorder="1" applyAlignment="1">
      <alignment horizontal="center" vertical="top" wrapText="1"/>
    </xf>
    <xf numFmtId="0" fontId="5" fillId="3" borderId="26" xfId="0" applyFont="1" applyFill="1" applyBorder="1">
      <alignment vertical="center"/>
    </xf>
    <xf numFmtId="0" fontId="5" fillId="3" borderId="27" xfId="0" applyFont="1" applyFill="1" applyBorder="1">
      <alignment vertical="center"/>
    </xf>
    <xf numFmtId="38" fontId="9" fillId="5" borderId="5" xfId="1" applyFont="1" applyFill="1" applyBorder="1" applyAlignment="1">
      <alignment horizontal="center" vertical="top" wrapText="1"/>
    </xf>
    <xf numFmtId="38" fontId="9" fillId="5" borderId="10" xfId="1" applyFont="1" applyFill="1" applyBorder="1" applyAlignment="1">
      <alignment horizontal="center" vertical="top" wrapText="1"/>
    </xf>
    <xf numFmtId="0" fontId="9" fillId="5" borderId="8" xfId="0" applyFont="1" applyFill="1" applyBorder="1" applyAlignment="1">
      <alignment horizontal="center" vertical="top" wrapText="1"/>
    </xf>
    <xf numFmtId="0" fontId="0" fillId="0" borderId="8" xfId="0" applyBorder="1" applyAlignment="1">
      <alignment horizontal="center" vertical="center"/>
    </xf>
    <xf numFmtId="0" fontId="0" fillId="0" borderId="10" xfId="0" applyBorder="1" applyAlignment="1">
      <alignment horizontal="center" vertical="center"/>
    </xf>
    <xf numFmtId="0" fontId="9" fillId="5" borderId="72" xfId="0" applyFont="1" applyFill="1" applyBorder="1" applyAlignment="1">
      <alignment horizontal="center" vertical="top" wrapText="1"/>
    </xf>
    <xf numFmtId="176" fontId="9" fillId="3" borderId="67" xfId="0" applyNumberFormat="1" applyFont="1" applyFill="1" applyBorder="1" applyAlignment="1">
      <alignment horizontal="center" vertical="center" wrapText="1"/>
    </xf>
    <xf numFmtId="176" fontId="9" fillId="3" borderId="26" xfId="0" applyNumberFormat="1" applyFont="1" applyFill="1" applyBorder="1" applyAlignment="1">
      <alignment horizontal="center" vertical="center" wrapText="1"/>
    </xf>
    <xf numFmtId="176" fontId="9" fillId="3" borderId="76" xfId="0" applyNumberFormat="1" applyFont="1" applyFill="1" applyBorder="1" applyAlignment="1">
      <alignment horizontal="center" vertical="center" wrapText="1"/>
    </xf>
    <xf numFmtId="176" fontId="9" fillId="3" borderId="27" xfId="0" applyNumberFormat="1" applyFont="1" applyFill="1" applyBorder="1" applyAlignment="1">
      <alignment horizontal="center" vertical="center" wrapText="1"/>
    </xf>
    <xf numFmtId="38" fontId="5" fillId="3" borderId="33" xfId="0" applyNumberFormat="1" applyFont="1" applyFill="1" applyBorder="1" applyAlignment="1">
      <alignment horizontal="center" vertical="center" wrapText="1"/>
    </xf>
    <xf numFmtId="38" fontId="5" fillId="3" borderId="27" xfId="0" applyNumberFormat="1" applyFont="1" applyFill="1" applyBorder="1" applyAlignment="1">
      <alignment horizontal="center" vertical="center" wrapText="1"/>
    </xf>
    <xf numFmtId="38" fontId="5" fillId="3" borderId="38" xfId="0" applyNumberFormat="1" applyFont="1" applyFill="1" applyBorder="1" applyAlignment="1">
      <alignment horizontal="center" vertical="center" wrapText="1"/>
    </xf>
    <xf numFmtId="0" fontId="5" fillId="5" borderId="3" xfId="0" applyFont="1" applyFill="1" applyBorder="1" applyAlignment="1">
      <alignment horizontal="center" vertical="center" shrinkToFit="1"/>
    </xf>
    <xf numFmtId="0" fontId="5" fillId="5" borderId="6" xfId="0" applyFont="1" applyFill="1" applyBorder="1" applyAlignment="1">
      <alignment horizontal="center" vertical="center" shrinkToFit="1"/>
    </xf>
    <xf numFmtId="0" fontId="5" fillId="0" borderId="33" xfId="0" applyFont="1" applyBorder="1" applyAlignment="1">
      <alignment horizontal="center" vertical="center"/>
    </xf>
    <xf numFmtId="0" fontId="5" fillId="0" borderId="59" xfId="0" applyFont="1" applyBorder="1" applyAlignment="1">
      <alignment horizontal="center" vertical="center"/>
    </xf>
    <xf numFmtId="0" fontId="5" fillId="5" borderId="28"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24"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0" borderId="73" xfId="0" applyFont="1" applyBorder="1" applyAlignment="1">
      <alignment horizontal="center" vertical="center" wrapText="1"/>
    </xf>
    <xf numFmtId="0" fontId="5" fillId="0" borderId="71" xfId="0" applyFont="1" applyBorder="1" applyAlignment="1">
      <alignment horizontal="center" vertical="center" wrapText="1"/>
    </xf>
    <xf numFmtId="0" fontId="5" fillId="5" borderId="61" xfId="0" applyFont="1" applyFill="1" applyBorder="1" applyAlignment="1">
      <alignment horizontal="center" vertical="center" shrinkToFit="1"/>
    </xf>
    <xf numFmtId="0" fontId="5" fillId="5" borderId="28" xfId="0" applyFont="1" applyFill="1" applyBorder="1" applyAlignment="1">
      <alignment horizontal="center" vertical="center" shrinkToFit="1"/>
    </xf>
    <xf numFmtId="0" fontId="5" fillId="5" borderId="64"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63" xfId="0" applyFont="1" applyBorder="1" applyAlignment="1">
      <alignment horizontal="center" vertical="center" textRotation="255"/>
    </xf>
    <xf numFmtId="0" fontId="5" fillId="0" borderId="62" xfId="0" applyFont="1" applyBorder="1" applyAlignment="1">
      <alignment horizontal="center" vertical="center"/>
    </xf>
    <xf numFmtId="0" fontId="5" fillId="0" borderId="9" xfId="0" applyFont="1" applyBorder="1" applyAlignment="1">
      <alignment horizontal="center" vertical="center"/>
    </xf>
    <xf numFmtId="0" fontId="5" fillId="0" borderId="68" xfId="0" applyFont="1" applyBorder="1" applyAlignment="1">
      <alignment horizontal="center" vertical="center"/>
    </xf>
    <xf numFmtId="0" fontId="5" fillId="0" borderId="11" xfId="0" applyFont="1" applyBorder="1" applyAlignment="1">
      <alignment horizontal="center" vertical="center"/>
    </xf>
    <xf numFmtId="0" fontId="5" fillId="0" borderId="34" xfId="0" applyFont="1" applyBorder="1" applyAlignment="1">
      <alignment horizontal="center" vertical="center"/>
    </xf>
    <xf numFmtId="38" fontId="9" fillId="5" borderId="69" xfId="1" applyFont="1" applyFill="1" applyBorder="1" applyAlignment="1">
      <alignment horizontal="center" vertical="center"/>
    </xf>
    <xf numFmtId="38" fontId="9" fillId="5" borderId="70" xfId="1" applyFont="1" applyFill="1" applyBorder="1" applyAlignment="1">
      <alignment horizontal="center" vertical="center"/>
    </xf>
    <xf numFmtId="38" fontId="9" fillId="5" borderId="71" xfId="1" applyFont="1" applyFill="1" applyBorder="1" applyAlignment="1">
      <alignment horizontal="center" vertical="center"/>
    </xf>
    <xf numFmtId="38" fontId="10" fillId="5" borderId="24" xfId="1" applyFont="1" applyFill="1" applyBorder="1" applyAlignment="1">
      <alignment horizontal="center" vertical="center" wrapText="1"/>
    </xf>
    <xf numFmtId="38" fontId="10" fillId="5" borderId="65" xfId="1" applyFont="1" applyFill="1" applyBorder="1" applyAlignment="1">
      <alignment horizontal="center" vertical="center" wrapText="1"/>
    </xf>
    <xf numFmtId="38" fontId="10" fillId="5" borderId="74" xfId="1" applyFont="1" applyFill="1" applyBorder="1" applyAlignment="1">
      <alignment horizontal="center" vertical="center" wrapText="1"/>
    </xf>
    <xf numFmtId="38" fontId="9" fillId="5" borderId="1" xfId="1" applyFont="1" applyFill="1" applyBorder="1" applyAlignment="1">
      <alignment horizontal="center" vertical="center" wrapText="1"/>
    </xf>
    <xf numFmtId="38" fontId="9" fillId="5" borderId="63" xfId="1" applyFont="1" applyFill="1" applyBorder="1" applyAlignment="1">
      <alignment horizontal="center" vertical="center" wrapText="1"/>
    </xf>
    <xf numFmtId="38" fontId="9" fillId="5" borderId="4" xfId="1" applyFont="1" applyFill="1" applyBorder="1" applyAlignment="1">
      <alignment horizontal="center" vertical="center" wrapText="1"/>
    </xf>
    <xf numFmtId="38" fontId="9" fillId="5" borderId="3" xfId="1" applyFont="1" applyFill="1" applyBorder="1" applyAlignment="1">
      <alignment horizontal="center" vertical="center" wrapText="1"/>
    </xf>
    <xf numFmtId="38" fontId="9" fillId="5" borderId="22" xfId="1" applyFont="1" applyFill="1" applyBorder="1" applyAlignment="1">
      <alignment horizontal="center" vertical="center" wrapText="1"/>
    </xf>
    <xf numFmtId="38" fontId="9" fillId="5" borderId="6" xfId="1" applyFont="1" applyFill="1" applyBorder="1" applyAlignment="1">
      <alignment horizontal="center" vertical="center" wrapText="1"/>
    </xf>
    <xf numFmtId="38" fontId="9" fillId="5" borderId="2" xfId="1" applyFont="1" applyFill="1" applyBorder="1" applyAlignment="1">
      <alignment horizontal="center" vertical="center" wrapText="1"/>
    </xf>
    <xf numFmtId="38" fontId="9" fillId="5" borderId="5" xfId="1" applyFont="1" applyFill="1" applyBorder="1" applyAlignment="1">
      <alignment horizontal="center" vertical="center" wrapText="1"/>
    </xf>
    <xf numFmtId="38" fontId="9" fillId="5" borderId="66" xfId="1"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75"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5" borderId="29" xfId="0" applyFont="1" applyFill="1" applyBorder="1" applyAlignment="1">
      <alignment horizontal="center" vertical="center"/>
    </xf>
    <xf numFmtId="0" fontId="3" fillId="5" borderId="4" xfId="0" applyFont="1" applyFill="1" applyBorder="1" applyAlignment="1">
      <alignment horizontal="center" vertical="center"/>
    </xf>
    <xf numFmtId="0" fontId="9" fillId="5" borderId="10" xfId="0" applyFont="1" applyFill="1" applyBorder="1" applyAlignment="1">
      <alignment horizontal="center" vertical="center" wrapText="1"/>
    </xf>
    <xf numFmtId="0" fontId="3" fillId="5" borderId="3" xfId="0" applyFont="1" applyFill="1" applyBorder="1" applyAlignment="1">
      <alignment horizontal="center" vertical="center"/>
    </xf>
    <xf numFmtId="0" fontId="3" fillId="5" borderId="22" xfId="0" applyFont="1" applyFill="1" applyBorder="1" applyAlignment="1">
      <alignment horizontal="center" vertical="center"/>
    </xf>
    <xf numFmtId="0" fontId="3" fillId="5" borderId="6" xfId="0" applyFont="1" applyFill="1" applyBorder="1" applyAlignment="1">
      <alignment horizontal="center" vertical="center"/>
    </xf>
    <xf numFmtId="0" fontId="9" fillId="5" borderId="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1" xfId="0" applyFont="1" applyFill="1" applyBorder="1" applyAlignment="1">
      <alignment horizontal="center" vertical="center" wrapText="1"/>
    </xf>
    <xf numFmtId="0" fontId="9" fillId="5" borderId="18" xfId="0" applyFont="1" applyFill="1" applyBorder="1" applyAlignment="1">
      <alignment horizontal="center" vertical="center" wrapText="1"/>
    </xf>
    <xf numFmtId="0" fontId="9" fillId="5" borderId="56" xfId="0" applyFont="1" applyFill="1" applyBorder="1" applyAlignment="1">
      <alignment horizontal="center" vertical="center" wrapText="1"/>
    </xf>
    <xf numFmtId="0" fontId="9" fillId="5" borderId="19" xfId="0" applyFont="1" applyFill="1" applyBorder="1" applyAlignment="1">
      <alignment horizontal="center" vertical="center" wrapText="1"/>
    </xf>
    <xf numFmtId="0" fontId="9" fillId="5" borderId="54" xfId="0"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65" xfId="0" applyFont="1" applyFill="1" applyBorder="1" applyAlignment="1">
      <alignment horizontal="center" vertical="center" wrapText="1"/>
    </xf>
    <xf numFmtId="0" fontId="9" fillId="5" borderId="25"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3" fillId="5" borderId="20" xfId="0" applyFont="1" applyFill="1" applyBorder="1" applyAlignment="1">
      <alignment horizontal="center" vertical="center"/>
    </xf>
    <xf numFmtId="0" fontId="3" fillId="5" borderId="60" xfId="0" applyFont="1" applyFill="1" applyBorder="1" applyAlignment="1">
      <alignment horizontal="center" vertical="center"/>
    </xf>
    <xf numFmtId="0" fontId="3" fillId="5" borderId="21" xfId="0" applyFont="1" applyFill="1" applyBorder="1" applyAlignment="1">
      <alignment horizontal="center" vertical="center"/>
    </xf>
    <xf numFmtId="0" fontId="11" fillId="2" borderId="72" xfId="0" applyFont="1" applyFill="1" applyBorder="1" applyAlignment="1">
      <alignment horizontal="left" vertical="center" wrapText="1"/>
    </xf>
    <xf numFmtId="0" fontId="4" fillId="2" borderId="14" xfId="0" applyFont="1" applyFill="1" applyBorder="1" applyAlignment="1">
      <alignment horizontal="left" vertical="center" wrapText="1"/>
    </xf>
    <xf numFmtId="0" fontId="4" fillId="2" borderId="9" xfId="0" applyFont="1" applyFill="1" applyBorder="1" applyAlignment="1">
      <alignment horizontal="left" vertical="center" wrapText="1"/>
    </xf>
    <xf numFmtId="0" fontId="0" fillId="0" borderId="8" xfId="0" applyBorder="1" applyAlignment="1">
      <alignment horizontal="center" vertical="center"/>
    </xf>
    <xf numFmtId="0" fontId="4" fillId="6" borderId="72" xfId="0" applyFont="1" applyFill="1" applyBorder="1" applyAlignment="1">
      <alignment horizontal="left" vertical="center" wrapText="1"/>
    </xf>
    <xf numFmtId="0" fontId="4" fillId="6" borderId="14" xfId="0" applyFont="1" applyFill="1" applyBorder="1" applyAlignment="1">
      <alignment horizontal="left" vertical="center" wrapText="1"/>
    </xf>
    <xf numFmtId="0" fontId="4" fillId="6" borderId="9" xfId="0" applyFont="1" applyFill="1" applyBorder="1" applyAlignment="1">
      <alignment horizontal="left" vertical="center" wrapText="1"/>
    </xf>
    <xf numFmtId="0" fontId="11" fillId="2" borderId="72"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1" fillId="2" borderId="14" xfId="0" applyFont="1" applyFill="1" applyBorder="1" applyAlignment="1">
      <alignment horizontal="left" vertical="center" wrapText="1"/>
    </xf>
    <xf numFmtId="0" fontId="11" fillId="2" borderId="9" xfId="0" applyFont="1" applyFill="1" applyBorder="1" applyAlignment="1">
      <alignment horizontal="left" vertical="center" wrapText="1"/>
    </xf>
    <xf numFmtId="0" fontId="11" fillId="2" borderId="9" xfId="0" applyFont="1" applyFill="1" applyBorder="1" applyAlignment="1">
      <alignment horizontal="center" vertical="center" wrapText="1"/>
    </xf>
    <xf numFmtId="0" fontId="11" fillId="7" borderId="8" xfId="0" applyFont="1" applyFill="1" applyBorder="1" applyAlignment="1">
      <alignment horizontal="left" vertical="center"/>
    </xf>
    <xf numFmtId="0" fontId="11" fillId="2" borderId="8" xfId="0" applyFont="1" applyFill="1" applyBorder="1" applyAlignment="1">
      <alignment horizontal="left" vertical="center"/>
    </xf>
    <xf numFmtId="0" fontId="11" fillId="6" borderId="14" xfId="0" applyFont="1" applyFill="1" applyBorder="1" applyAlignment="1">
      <alignment horizontal="left" vertical="center" wrapText="1"/>
    </xf>
    <xf numFmtId="0" fontId="11" fillId="6" borderId="9" xfId="0" applyFont="1" applyFill="1" applyBorder="1" applyAlignment="1">
      <alignment horizontal="left" vertical="center" wrapText="1"/>
    </xf>
    <xf numFmtId="0" fontId="11" fillId="2" borderId="8" xfId="0" applyFont="1" applyFill="1" applyBorder="1" applyAlignment="1">
      <alignment horizontal="left" vertical="center" wrapText="1"/>
    </xf>
    <xf numFmtId="0" fontId="11" fillId="6" borderId="8" xfId="0" applyFont="1" applyFill="1" applyBorder="1" applyAlignment="1">
      <alignment horizontal="left" vertical="center" wrapText="1"/>
    </xf>
    <xf numFmtId="0" fontId="11" fillId="6" borderId="10" xfId="0" applyFont="1" applyFill="1" applyBorder="1" applyAlignment="1">
      <alignment horizontal="left" vertical="center" wrapText="1"/>
    </xf>
    <xf numFmtId="0" fontId="8" fillId="6" borderId="72" xfId="0" applyFont="1" applyFill="1" applyBorder="1" applyAlignment="1">
      <alignment horizontal="left" vertical="center" wrapText="1"/>
    </xf>
    <xf numFmtId="0" fontId="8" fillId="6" borderId="8" xfId="0" applyFont="1" applyFill="1" applyBorder="1" applyAlignment="1">
      <alignment horizontal="left" vertical="center" wrapText="1"/>
    </xf>
    <xf numFmtId="0" fontId="8" fillId="0" borderId="8" xfId="0" applyFont="1" applyBorder="1" applyAlignment="1">
      <alignment horizontal="left" vertical="center" wrapText="1"/>
    </xf>
    <xf numFmtId="0" fontId="13" fillId="0" borderId="8" xfId="0" applyFont="1" applyBorder="1" applyAlignment="1">
      <alignment horizontal="left" vertical="center" wrapText="1"/>
    </xf>
    <xf numFmtId="0" fontId="13" fillId="0" borderId="8" xfId="0" applyFont="1" applyBorder="1" applyAlignment="1">
      <alignment horizontal="left" vertical="center"/>
    </xf>
    <xf numFmtId="0" fontId="8" fillId="0" borderId="8" xfId="0" applyFont="1" applyBorder="1" applyAlignment="1">
      <alignment horizontal="center" vertical="center" wrapText="1"/>
    </xf>
    <xf numFmtId="0" fontId="13" fillId="0" borderId="8" xfId="0" applyFont="1" applyBorder="1" applyAlignment="1">
      <alignment horizontal="center" vertical="center" wrapText="1"/>
    </xf>
    <xf numFmtId="0" fontId="8" fillId="0" borderId="8" xfId="0" applyFont="1" applyBorder="1" applyAlignment="1">
      <alignment horizontal="left" vertical="center"/>
    </xf>
  </cellXfs>
  <cellStyles count="3">
    <cellStyle name="桁区切り" xfId="1" builtinId="6"/>
    <cellStyle name="標準" xfId="0" builtinId="0"/>
    <cellStyle name="標準 2" xfId="2" xr:uid="{BBF0B2E0-691F-4DA9-ABA9-8CA92C09880B}"/>
  </cellStyles>
  <dxfs count="0"/>
  <tableStyles count="0" defaultTableStyle="TableStyleMedium2" defaultPivotStyle="PivotStyleLight16"/>
  <colors>
    <mruColors>
      <color rgb="FFFEE9D2"/>
      <color rgb="FFFFFFB3"/>
      <color rgb="FFECFFEB"/>
      <color rgb="FFFFFFCC"/>
      <color rgb="FFEBF7FF"/>
      <color rgb="FFCCECFF"/>
      <color rgb="FFFBEF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120650</xdr:colOff>
          <xdr:row>10</xdr:row>
          <xdr:rowOff>254000</xdr:rowOff>
        </xdr:from>
        <xdr:to>
          <xdr:col>1</xdr:col>
          <xdr:colOff>444500</xdr:colOff>
          <xdr:row>10</xdr:row>
          <xdr:rowOff>628650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9</xdr:row>
          <xdr:rowOff>222250</xdr:rowOff>
        </xdr:from>
        <xdr:to>
          <xdr:col>1</xdr:col>
          <xdr:colOff>501650</xdr:colOff>
          <xdr:row>9</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AC364-BCDA-4435-B9D8-3697DDFFB66A}">
  <sheetPr codeName="Sheet1">
    <tabColor rgb="FFFFC000"/>
    <pageSetUpPr fitToPage="1"/>
  </sheetPr>
  <dimension ref="A1:AK58"/>
  <sheetViews>
    <sheetView topLeftCell="A5" zoomScale="115" zoomScaleNormal="115" workbookViewId="0">
      <selection activeCell="F10" sqref="F10"/>
    </sheetView>
  </sheetViews>
  <sheetFormatPr defaultColWidth="9" defaultRowHeight="18"/>
  <cols>
    <col min="1" max="1" width="3.75" style="2" customWidth="1"/>
    <col min="2" max="2" width="9" style="2"/>
    <col min="3" max="3" width="6.83203125" style="2" customWidth="1"/>
    <col min="4" max="27" width="9.33203125" style="2" customWidth="1"/>
    <col min="28" max="30" width="15.58203125" style="2" customWidth="1"/>
    <col min="31" max="31" width="4.08203125" style="4" customWidth="1"/>
    <col min="32" max="32" width="3.33203125" style="4" customWidth="1"/>
    <col min="33" max="33" width="11.75" style="2" customWidth="1"/>
    <col min="34" max="34" width="6.33203125" style="2" customWidth="1"/>
    <col min="35" max="35" width="11.83203125" style="2" customWidth="1"/>
    <col min="36" max="36" width="11.83203125" style="4" customWidth="1"/>
    <col min="37" max="37" width="11.83203125" style="2" customWidth="1"/>
    <col min="38" max="16384" width="9" style="2"/>
  </cols>
  <sheetData>
    <row r="1" spans="1:37" ht="20">
      <c r="A1" s="3" t="s">
        <v>0</v>
      </c>
    </row>
    <row r="2" spans="1:37" ht="18.5" thickBot="1">
      <c r="AD2" s="4" t="s">
        <v>97</v>
      </c>
      <c r="AK2" s="4" t="s">
        <v>97</v>
      </c>
    </row>
    <row r="3" spans="1:37" s="6" customFormat="1" ht="18" customHeight="1">
      <c r="A3" s="40"/>
      <c r="B3" s="62" t="s">
        <v>1</v>
      </c>
      <c r="C3" s="58" t="s">
        <v>2</v>
      </c>
      <c r="D3" s="41" t="s">
        <v>3</v>
      </c>
      <c r="E3" s="42"/>
      <c r="F3" s="43"/>
      <c r="G3" s="41" t="s">
        <v>4</v>
      </c>
      <c r="H3" s="42"/>
      <c r="I3" s="43"/>
      <c r="J3" s="41" t="s">
        <v>5</v>
      </c>
      <c r="K3" s="42"/>
      <c r="L3" s="43"/>
      <c r="M3" s="41" t="s">
        <v>6</v>
      </c>
      <c r="N3" s="42"/>
      <c r="O3" s="43"/>
      <c r="P3" s="41" t="s">
        <v>7</v>
      </c>
      <c r="Q3" s="42"/>
      <c r="R3" s="43"/>
      <c r="S3" s="41" t="s">
        <v>8</v>
      </c>
      <c r="T3" s="42"/>
      <c r="U3" s="43"/>
      <c r="V3" s="41" t="s">
        <v>9</v>
      </c>
      <c r="W3" s="42"/>
      <c r="X3" s="43"/>
      <c r="Y3" s="41" t="s">
        <v>10</v>
      </c>
      <c r="Z3" s="42"/>
      <c r="AA3" s="43"/>
      <c r="AB3" s="32" t="s">
        <v>11</v>
      </c>
      <c r="AC3" s="107" t="s">
        <v>74</v>
      </c>
      <c r="AD3" s="109" t="s">
        <v>12</v>
      </c>
      <c r="AE3" s="5"/>
      <c r="AF3" s="113" t="s">
        <v>13</v>
      </c>
      <c r="AG3" s="114"/>
      <c r="AH3" s="103" t="s">
        <v>2</v>
      </c>
      <c r="AI3" s="66" t="s">
        <v>14</v>
      </c>
      <c r="AJ3" s="67"/>
      <c r="AK3" s="68"/>
    </row>
    <row r="4" spans="1:37" s="6" customFormat="1" ht="19.5" customHeight="1" thickBot="1">
      <c r="A4" s="44"/>
      <c r="B4" s="63"/>
      <c r="C4" s="59"/>
      <c r="D4" s="45" t="s">
        <v>15</v>
      </c>
      <c r="E4" s="46" t="s">
        <v>16</v>
      </c>
      <c r="F4" s="47" t="s">
        <v>17</v>
      </c>
      <c r="G4" s="45" t="s">
        <v>15</v>
      </c>
      <c r="H4" s="46" t="s">
        <v>16</v>
      </c>
      <c r="I4" s="47" t="s">
        <v>17</v>
      </c>
      <c r="J4" s="45" t="s">
        <v>15</v>
      </c>
      <c r="K4" s="46" t="s">
        <v>16</v>
      </c>
      <c r="L4" s="47" t="s">
        <v>17</v>
      </c>
      <c r="M4" s="45" t="s">
        <v>15</v>
      </c>
      <c r="N4" s="46" t="s">
        <v>16</v>
      </c>
      <c r="O4" s="47" t="s">
        <v>17</v>
      </c>
      <c r="P4" s="45" t="s">
        <v>15</v>
      </c>
      <c r="Q4" s="46" t="s">
        <v>16</v>
      </c>
      <c r="R4" s="47" t="s">
        <v>17</v>
      </c>
      <c r="S4" s="45" t="s">
        <v>15</v>
      </c>
      <c r="T4" s="46" t="s">
        <v>16</v>
      </c>
      <c r="U4" s="47" t="s">
        <v>17</v>
      </c>
      <c r="V4" s="45" t="s">
        <v>15</v>
      </c>
      <c r="W4" s="46" t="s">
        <v>16</v>
      </c>
      <c r="X4" s="47" t="s">
        <v>17</v>
      </c>
      <c r="Y4" s="45" t="s">
        <v>15</v>
      </c>
      <c r="Z4" s="46" t="s">
        <v>16</v>
      </c>
      <c r="AA4" s="47" t="s">
        <v>17</v>
      </c>
      <c r="AB4" s="48" t="s">
        <v>17</v>
      </c>
      <c r="AC4" s="108"/>
      <c r="AD4" s="110"/>
      <c r="AE4" s="5"/>
      <c r="AF4" s="115"/>
      <c r="AG4" s="116"/>
      <c r="AH4" s="104"/>
      <c r="AI4" s="69" t="s">
        <v>15</v>
      </c>
      <c r="AJ4" s="65" t="s">
        <v>16</v>
      </c>
      <c r="AK4" s="70" t="s">
        <v>17</v>
      </c>
    </row>
    <row r="5" spans="1:37" ht="15.75" customHeight="1">
      <c r="A5" s="52">
        <v>1</v>
      </c>
      <c r="B5" s="64" t="s">
        <v>18</v>
      </c>
      <c r="C5" s="49"/>
      <c r="D5" s="35"/>
      <c r="E5" s="36"/>
      <c r="F5" s="37">
        <f>D5+E5</f>
        <v>0</v>
      </c>
      <c r="G5" s="35"/>
      <c r="H5" s="36"/>
      <c r="I5" s="37">
        <f>G5+H5</f>
        <v>0</v>
      </c>
      <c r="J5" s="35"/>
      <c r="K5" s="36"/>
      <c r="L5" s="37">
        <f>J5+K5</f>
        <v>0</v>
      </c>
      <c r="M5" s="35"/>
      <c r="N5" s="36"/>
      <c r="O5" s="37">
        <f>M5+N5</f>
        <v>0</v>
      </c>
      <c r="P5" s="35"/>
      <c r="Q5" s="36"/>
      <c r="R5" s="37">
        <f>P5+Q5</f>
        <v>0</v>
      </c>
      <c r="S5" s="35"/>
      <c r="T5" s="36"/>
      <c r="U5" s="37">
        <f>S5+T5</f>
        <v>0</v>
      </c>
      <c r="V5" s="35"/>
      <c r="W5" s="36"/>
      <c r="X5" s="37">
        <f>V5+W5</f>
        <v>0</v>
      </c>
      <c r="Y5" s="35"/>
      <c r="Z5" s="36"/>
      <c r="AA5" s="37">
        <f>Y5+Z5</f>
        <v>0</v>
      </c>
      <c r="AB5" s="38">
        <f>F5+I5+L5+O5+R5+U5+X5+AA5</f>
        <v>0</v>
      </c>
      <c r="AC5" s="39"/>
      <c r="AD5" s="53">
        <f t="shared" ref="AD5:AD51" si="0">AB5-AC5</f>
        <v>0</v>
      </c>
      <c r="AF5" s="111" t="s">
        <v>91</v>
      </c>
      <c r="AG5" s="112"/>
      <c r="AH5" s="13"/>
      <c r="AI5" s="14"/>
      <c r="AJ5" s="75"/>
      <c r="AK5" s="73">
        <f>SUM(AI5:AJ5)</f>
        <v>0</v>
      </c>
    </row>
    <row r="6" spans="1:37" ht="15.75" customHeight="1">
      <c r="A6" s="54">
        <v>2</v>
      </c>
      <c r="B6" s="50" t="s">
        <v>19</v>
      </c>
      <c r="C6" s="7"/>
      <c r="D6" s="8"/>
      <c r="E6" s="9"/>
      <c r="F6" s="22">
        <f t="shared" ref="F6:F51" si="1">D6+E6</f>
        <v>0</v>
      </c>
      <c r="G6" s="8"/>
      <c r="H6" s="9"/>
      <c r="I6" s="22">
        <f t="shared" ref="I6:I51" si="2">G6+H6</f>
        <v>0</v>
      </c>
      <c r="J6" s="8"/>
      <c r="K6" s="9"/>
      <c r="L6" s="22">
        <f t="shared" ref="L6:L51" si="3">J6+K6</f>
        <v>0</v>
      </c>
      <c r="M6" s="8"/>
      <c r="N6" s="9"/>
      <c r="O6" s="22">
        <f t="shared" ref="O6:O51" si="4">M6+N6</f>
        <v>0</v>
      </c>
      <c r="P6" s="8"/>
      <c r="Q6" s="9"/>
      <c r="R6" s="22">
        <f t="shared" ref="R6:R51" si="5">P6+Q6</f>
        <v>0</v>
      </c>
      <c r="S6" s="8"/>
      <c r="T6" s="9"/>
      <c r="U6" s="22">
        <f t="shared" ref="U6:U51" si="6">S6+T6</f>
        <v>0</v>
      </c>
      <c r="V6" s="8"/>
      <c r="W6" s="9"/>
      <c r="X6" s="22">
        <f t="shared" ref="X6:X51" si="7">V6+W6</f>
        <v>0</v>
      </c>
      <c r="Y6" s="8"/>
      <c r="Z6" s="9"/>
      <c r="AA6" s="22">
        <f t="shared" ref="AA6:AA51" si="8">Y6+Z6</f>
        <v>0</v>
      </c>
      <c r="AB6" s="33">
        <f t="shared" ref="AB6:AB51" si="9">F6+I6+L6+O6+R6+U6+X6+AA6</f>
        <v>0</v>
      </c>
      <c r="AC6" s="29"/>
      <c r="AD6" s="55">
        <f t="shared" si="0"/>
        <v>0</v>
      </c>
      <c r="AF6" s="118" t="s">
        <v>92</v>
      </c>
      <c r="AG6" s="119"/>
      <c r="AH6" s="11"/>
      <c r="AI6" s="12"/>
      <c r="AJ6" s="76"/>
      <c r="AK6" s="73">
        <f t="shared" ref="AK6:AK12" si="10">SUM(AI6:AJ6)</f>
        <v>0</v>
      </c>
    </row>
    <row r="7" spans="1:37" ht="15.75" customHeight="1">
      <c r="A7" s="54">
        <v>3</v>
      </c>
      <c r="B7" s="50" t="s">
        <v>20</v>
      </c>
      <c r="C7" s="7"/>
      <c r="D7" s="8"/>
      <c r="E7" s="9"/>
      <c r="F7" s="22">
        <f t="shared" si="1"/>
        <v>0</v>
      </c>
      <c r="G7" s="8"/>
      <c r="H7" s="9"/>
      <c r="I7" s="22">
        <f t="shared" si="2"/>
        <v>0</v>
      </c>
      <c r="J7" s="8"/>
      <c r="K7" s="9"/>
      <c r="L7" s="22">
        <f t="shared" si="3"/>
        <v>0</v>
      </c>
      <c r="M7" s="8"/>
      <c r="N7" s="9"/>
      <c r="O7" s="22">
        <f t="shared" si="4"/>
        <v>0</v>
      </c>
      <c r="P7" s="8"/>
      <c r="Q7" s="9"/>
      <c r="R7" s="22">
        <f t="shared" si="5"/>
        <v>0</v>
      </c>
      <c r="S7" s="8"/>
      <c r="T7" s="9"/>
      <c r="U7" s="22">
        <f t="shared" si="6"/>
        <v>0</v>
      </c>
      <c r="V7" s="8"/>
      <c r="W7" s="9"/>
      <c r="X7" s="22">
        <f t="shared" si="7"/>
        <v>0</v>
      </c>
      <c r="Y7" s="8"/>
      <c r="Z7" s="9"/>
      <c r="AA7" s="22">
        <f t="shared" si="8"/>
        <v>0</v>
      </c>
      <c r="AB7" s="33">
        <f t="shared" si="9"/>
        <v>0</v>
      </c>
      <c r="AC7" s="29"/>
      <c r="AD7" s="55">
        <f t="shared" si="0"/>
        <v>0</v>
      </c>
      <c r="AF7" s="118" t="s">
        <v>93</v>
      </c>
      <c r="AG7" s="119"/>
      <c r="AH7" s="11"/>
      <c r="AI7" s="12"/>
      <c r="AJ7" s="76"/>
      <c r="AK7" s="73">
        <f t="shared" si="10"/>
        <v>0</v>
      </c>
    </row>
    <row r="8" spans="1:37" ht="15.75" customHeight="1">
      <c r="A8" s="54">
        <v>4</v>
      </c>
      <c r="B8" s="50" t="s">
        <v>21</v>
      </c>
      <c r="C8" s="7"/>
      <c r="D8" s="8"/>
      <c r="E8" s="9"/>
      <c r="F8" s="22">
        <f t="shared" si="1"/>
        <v>0</v>
      </c>
      <c r="G8" s="8"/>
      <c r="H8" s="9"/>
      <c r="I8" s="22">
        <f t="shared" si="2"/>
        <v>0</v>
      </c>
      <c r="J8" s="8"/>
      <c r="K8" s="9"/>
      <c r="L8" s="22">
        <f t="shared" si="3"/>
        <v>0</v>
      </c>
      <c r="M8" s="8"/>
      <c r="N8" s="9"/>
      <c r="O8" s="22">
        <f t="shared" si="4"/>
        <v>0</v>
      </c>
      <c r="P8" s="8"/>
      <c r="Q8" s="9"/>
      <c r="R8" s="22">
        <f t="shared" si="5"/>
        <v>0</v>
      </c>
      <c r="S8" s="8"/>
      <c r="T8" s="9"/>
      <c r="U8" s="22">
        <f t="shared" si="6"/>
        <v>0</v>
      </c>
      <c r="V8" s="8"/>
      <c r="W8" s="9"/>
      <c r="X8" s="22">
        <f t="shared" si="7"/>
        <v>0</v>
      </c>
      <c r="Y8" s="8"/>
      <c r="Z8" s="9"/>
      <c r="AA8" s="22">
        <f t="shared" si="8"/>
        <v>0</v>
      </c>
      <c r="AB8" s="33">
        <f t="shared" si="9"/>
        <v>0</v>
      </c>
      <c r="AC8" s="29"/>
      <c r="AD8" s="55">
        <f t="shared" si="0"/>
        <v>0</v>
      </c>
      <c r="AF8" s="118" t="s">
        <v>94</v>
      </c>
      <c r="AG8" s="119"/>
      <c r="AH8" s="11"/>
      <c r="AI8" s="12"/>
      <c r="AJ8" s="76"/>
      <c r="AK8" s="73">
        <f t="shared" si="10"/>
        <v>0</v>
      </c>
    </row>
    <row r="9" spans="1:37" ht="15.75" customHeight="1">
      <c r="A9" s="54">
        <v>5</v>
      </c>
      <c r="B9" s="50" t="s">
        <v>22</v>
      </c>
      <c r="C9" s="7"/>
      <c r="D9" s="8"/>
      <c r="E9" s="9"/>
      <c r="F9" s="22">
        <f t="shared" si="1"/>
        <v>0</v>
      </c>
      <c r="G9" s="8"/>
      <c r="H9" s="9"/>
      <c r="I9" s="22">
        <f t="shared" si="2"/>
        <v>0</v>
      </c>
      <c r="J9" s="8"/>
      <c r="K9" s="9"/>
      <c r="L9" s="22">
        <f t="shared" si="3"/>
        <v>0</v>
      </c>
      <c r="M9" s="8"/>
      <c r="N9" s="9"/>
      <c r="O9" s="22">
        <f t="shared" si="4"/>
        <v>0</v>
      </c>
      <c r="P9" s="8"/>
      <c r="Q9" s="9"/>
      <c r="R9" s="22">
        <f t="shared" si="5"/>
        <v>0</v>
      </c>
      <c r="S9" s="8"/>
      <c r="T9" s="9"/>
      <c r="U9" s="22">
        <f t="shared" si="6"/>
        <v>0</v>
      </c>
      <c r="V9" s="8"/>
      <c r="W9" s="9"/>
      <c r="X9" s="22">
        <f t="shared" si="7"/>
        <v>0</v>
      </c>
      <c r="Y9" s="8"/>
      <c r="Z9" s="9"/>
      <c r="AA9" s="22">
        <f t="shared" si="8"/>
        <v>0</v>
      </c>
      <c r="AB9" s="33">
        <f t="shared" si="9"/>
        <v>0</v>
      </c>
      <c r="AC9" s="29"/>
      <c r="AD9" s="55">
        <f t="shared" si="0"/>
        <v>0</v>
      </c>
      <c r="AF9" s="118" t="s">
        <v>95</v>
      </c>
      <c r="AG9" s="119"/>
      <c r="AH9" s="11"/>
      <c r="AI9" s="12"/>
      <c r="AJ9" s="76"/>
      <c r="AK9" s="73">
        <f t="shared" si="10"/>
        <v>0</v>
      </c>
    </row>
    <row r="10" spans="1:37" ht="15.75" customHeight="1">
      <c r="A10" s="54">
        <v>6</v>
      </c>
      <c r="B10" s="50" t="s">
        <v>23</v>
      </c>
      <c r="C10" s="7"/>
      <c r="D10" s="8"/>
      <c r="E10" s="9"/>
      <c r="F10" s="22">
        <f t="shared" si="1"/>
        <v>0</v>
      </c>
      <c r="G10" s="8"/>
      <c r="H10" s="9"/>
      <c r="I10" s="22">
        <f t="shared" si="2"/>
        <v>0</v>
      </c>
      <c r="J10" s="8"/>
      <c r="K10" s="9"/>
      <c r="L10" s="22">
        <f t="shared" si="3"/>
        <v>0</v>
      </c>
      <c r="M10" s="8"/>
      <c r="N10" s="9"/>
      <c r="O10" s="22">
        <f t="shared" si="4"/>
        <v>0</v>
      </c>
      <c r="P10" s="8"/>
      <c r="Q10" s="9"/>
      <c r="R10" s="22">
        <f t="shared" si="5"/>
        <v>0</v>
      </c>
      <c r="S10" s="8"/>
      <c r="T10" s="9"/>
      <c r="U10" s="22">
        <f t="shared" si="6"/>
        <v>0</v>
      </c>
      <c r="V10" s="8"/>
      <c r="W10" s="9"/>
      <c r="X10" s="22">
        <f t="shared" si="7"/>
        <v>0</v>
      </c>
      <c r="Y10" s="8"/>
      <c r="Z10" s="9"/>
      <c r="AA10" s="22">
        <f t="shared" si="8"/>
        <v>0</v>
      </c>
      <c r="AB10" s="33">
        <f t="shared" si="9"/>
        <v>0</v>
      </c>
      <c r="AC10" s="29"/>
      <c r="AD10" s="55">
        <f t="shared" si="0"/>
        <v>0</v>
      </c>
      <c r="AF10" s="118" t="s">
        <v>96</v>
      </c>
      <c r="AG10" s="119"/>
      <c r="AH10" s="11"/>
      <c r="AI10" s="12"/>
      <c r="AJ10" s="76"/>
      <c r="AK10" s="73">
        <f t="shared" si="10"/>
        <v>0</v>
      </c>
    </row>
    <row r="11" spans="1:37" ht="15.75" customHeight="1">
      <c r="A11" s="54">
        <v>7</v>
      </c>
      <c r="B11" s="50" t="s">
        <v>24</v>
      </c>
      <c r="C11" s="7"/>
      <c r="D11" s="8"/>
      <c r="E11" s="9"/>
      <c r="F11" s="22">
        <f t="shared" si="1"/>
        <v>0</v>
      </c>
      <c r="G11" s="8"/>
      <c r="H11" s="9"/>
      <c r="I11" s="22">
        <f t="shared" si="2"/>
        <v>0</v>
      </c>
      <c r="J11" s="8"/>
      <c r="K11" s="9"/>
      <c r="L11" s="22">
        <f t="shared" si="3"/>
        <v>0</v>
      </c>
      <c r="M11" s="8"/>
      <c r="N11" s="9"/>
      <c r="O11" s="22">
        <f t="shared" si="4"/>
        <v>0</v>
      </c>
      <c r="P11" s="8"/>
      <c r="Q11" s="9"/>
      <c r="R11" s="22">
        <f t="shared" si="5"/>
        <v>0</v>
      </c>
      <c r="S11" s="8"/>
      <c r="T11" s="9"/>
      <c r="U11" s="22">
        <f t="shared" si="6"/>
        <v>0</v>
      </c>
      <c r="V11" s="8"/>
      <c r="W11" s="9"/>
      <c r="X11" s="22">
        <f t="shared" si="7"/>
        <v>0</v>
      </c>
      <c r="Y11" s="8"/>
      <c r="Z11" s="9"/>
      <c r="AA11" s="22">
        <f t="shared" si="8"/>
        <v>0</v>
      </c>
      <c r="AB11" s="33">
        <f t="shared" si="9"/>
        <v>0</v>
      </c>
      <c r="AC11" s="29"/>
      <c r="AD11" s="55">
        <f t="shared" si="0"/>
        <v>0</v>
      </c>
      <c r="AF11" s="118" t="s">
        <v>121</v>
      </c>
      <c r="AG11" s="119"/>
      <c r="AH11" s="11"/>
      <c r="AI11" s="12"/>
      <c r="AJ11" s="76"/>
      <c r="AK11" s="73">
        <f t="shared" si="10"/>
        <v>0</v>
      </c>
    </row>
    <row r="12" spans="1:37" ht="15.75" customHeight="1">
      <c r="A12" s="54">
        <v>8</v>
      </c>
      <c r="B12" s="50" t="s">
        <v>25</v>
      </c>
      <c r="C12" s="7"/>
      <c r="D12" s="8"/>
      <c r="E12" s="9"/>
      <c r="F12" s="22">
        <f t="shared" si="1"/>
        <v>0</v>
      </c>
      <c r="G12" s="8"/>
      <c r="H12" s="9"/>
      <c r="I12" s="22">
        <f t="shared" si="2"/>
        <v>0</v>
      </c>
      <c r="J12" s="8"/>
      <c r="K12" s="9"/>
      <c r="L12" s="22">
        <f t="shared" si="3"/>
        <v>0</v>
      </c>
      <c r="M12" s="8"/>
      <c r="N12" s="9"/>
      <c r="O12" s="22">
        <f t="shared" si="4"/>
        <v>0</v>
      </c>
      <c r="P12" s="8"/>
      <c r="Q12" s="9"/>
      <c r="R12" s="22">
        <f t="shared" si="5"/>
        <v>0</v>
      </c>
      <c r="S12" s="8"/>
      <c r="T12" s="9"/>
      <c r="U12" s="22">
        <f t="shared" si="6"/>
        <v>0</v>
      </c>
      <c r="V12" s="8"/>
      <c r="W12" s="9"/>
      <c r="X12" s="22">
        <f t="shared" si="7"/>
        <v>0</v>
      </c>
      <c r="Y12" s="8"/>
      <c r="Z12" s="9"/>
      <c r="AA12" s="22">
        <f t="shared" si="8"/>
        <v>0</v>
      </c>
      <c r="AB12" s="33">
        <f t="shared" si="9"/>
        <v>0</v>
      </c>
      <c r="AC12" s="29"/>
      <c r="AD12" s="55">
        <f t="shared" si="0"/>
        <v>0</v>
      </c>
      <c r="AF12" s="120" t="s">
        <v>122</v>
      </c>
      <c r="AG12" s="121"/>
      <c r="AH12" s="11"/>
      <c r="AI12" s="12"/>
      <c r="AJ12" s="76"/>
      <c r="AK12" s="73">
        <f t="shared" si="10"/>
        <v>0</v>
      </c>
    </row>
    <row r="13" spans="1:37" ht="15.75" customHeight="1">
      <c r="A13" s="54">
        <v>9</v>
      </c>
      <c r="B13" s="50" t="s">
        <v>26</v>
      </c>
      <c r="C13" s="7"/>
      <c r="D13" s="8"/>
      <c r="E13" s="9"/>
      <c r="F13" s="22">
        <f t="shared" si="1"/>
        <v>0</v>
      </c>
      <c r="G13" s="8"/>
      <c r="H13" s="9"/>
      <c r="I13" s="22">
        <f t="shared" si="2"/>
        <v>0</v>
      </c>
      <c r="J13" s="8"/>
      <c r="K13" s="9"/>
      <c r="L13" s="22">
        <f t="shared" si="3"/>
        <v>0</v>
      </c>
      <c r="M13" s="8"/>
      <c r="N13" s="9"/>
      <c r="O13" s="22">
        <f t="shared" si="4"/>
        <v>0</v>
      </c>
      <c r="P13" s="8"/>
      <c r="Q13" s="9"/>
      <c r="R13" s="22">
        <f t="shared" si="5"/>
        <v>0</v>
      </c>
      <c r="S13" s="8"/>
      <c r="T13" s="9"/>
      <c r="U13" s="22">
        <f t="shared" si="6"/>
        <v>0</v>
      </c>
      <c r="V13" s="8"/>
      <c r="W13" s="9"/>
      <c r="X13" s="22">
        <f t="shared" si="7"/>
        <v>0</v>
      </c>
      <c r="Y13" s="8"/>
      <c r="Z13" s="9"/>
      <c r="AA13" s="22">
        <f t="shared" si="8"/>
        <v>0</v>
      </c>
      <c r="AB13" s="33">
        <f t="shared" si="9"/>
        <v>0</v>
      </c>
      <c r="AC13" s="29"/>
      <c r="AD13" s="55">
        <f t="shared" si="0"/>
        <v>0</v>
      </c>
      <c r="AF13" s="117" t="s">
        <v>67</v>
      </c>
      <c r="AG13" s="93" t="s">
        <v>140</v>
      </c>
      <c r="AH13" s="11"/>
      <c r="AI13" s="12"/>
      <c r="AJ13" s="76"/>
      <c r="AK13" s="73">
        <f t="shared" ref="AK13:AK30" si="11">SUM(AI13:AJ13)</f>
        <v>0</v>
      </c>
    </row>
    <row r="14" spans="1:37" ht="15.75" customHeight="1">
      <c r="A14" s="54">
        <v>10</v>
      </c>
      <c r="B14" s="50" t="s">
        <v>27</v>
      </c>
      <c r="C14" s="7"/>
      <c r="D14" s="8"/>
      <c r="E14" s="9"/>
      <c r="F14" s="22">
        <f t="shared" si="1"/>
        <v>0</v>
      </c>
      <c r="G14" s="8"/>
      <c r="H14" s="9"/>
      <c r="I14" s="22">
        <f t="shared" si="2"/>
        <v>0</v>
      </c>
      <c r="J14" s="8"/>
      <c r="K14" s="9"/>
      <c r="L14" s="22">
        <f t="shared" si="3"/>
        <v>0</v>
      </c>
      <c r="M14" s="8"/>
      <c r="N14" s="9"/>
      <c r="O14" s="22">
        <f t="shared" si="4"/>
        <v>0</v>
      </c>
      <c r="P14" s="8"/>
      <c r="Q14" s="9"/>
      <c r="R14" s="22">
        <f t="shared" si="5"/>
        <v>0</v>
      </c>
      <c r="S14" s="8"/>
      <c r="T14" s="9"/>
      <c r="U14" s="22">
        <f t="shared" si="6"/>
        <v>0</v>
      </c>
      <c r="V14" s="8"/>
      <c r="W14" s="9"/>
      <c r="X14" s="22">
        <f t="shared" si="7"/>
        <v>0</v>
      </c>
      <c r="Y14" s="8"/>
      <c r="Z14" s="9"/>
      <c r="AA14" s="22">
        <f t="shared" si="8"/>
        <v>0</v>
      </c>
      <c r="AB14" s="33">
        <f t="shared" si="9"/>
        <v>0</v>
      </c>
      <c r="AC14" s="29"/>
      <c r="AD14" s="55">
        <f t="shared" si="0"/>
        <v>0</v>
      </c>
      <c r="AF14" s="117"/>
      <c r="AG14" s="93" t="s">
        <v>123</v>
      </c>
      <c r="AH14" s="11"/>
      <c r="AI14" s="12"/>
      <c r="AJ14" s="76"/>
      <c r="AK14" s="73">
        <f t="shared" si="11"/>
        <v>0</v>
      </c>
    </row>
    <row r="15" spans="1:37" ht="15.75" customHeight="1">
      <c r="A15" s="54">
        <v>11</v>
      </c>
      <c r="B15" s="50" t="s">
        <v>28</v>
      </c>
      <c r="C15" s="7"/>
      <c r="D15" s="8"/>
      <c r="E15" s="9"/>
      <c r="F15" s="22">
        <f t="shared" si="1"/>
        <v>0</v>
      </c>
      <c r="G15" s="8"/>
      <c r="H15" s="9"/>
      <c r="I15" s="22">
        <f t="shared" si="2"/>
        <v>0</v>
      </c>
      <c r="J15" s="8"/>
      <c r="K15" s="9"/>
      <c r="L15" s="22">
        <f t="shared" si="3"/>
        <v>0</v>
      </c>
      <c r="M15" s="8"/>
      <c r="N15" s="9"/>
      <c r="O15" s="22">
        <f t="shared" si="4"/>
        <v>0</v>
      </c>
      <c r="P15" s="8"/>
      <c r="Q15" s="9"/>
      <c r="R15" s="22">
        <f t="shared" si="5"/>
        <v>0</v>
      </c>
      <c r="S15" s="8"/>
      <c r="T15" s="9"/>
      <c r="U15" s="22">
        <f t="shared" si="6"/>
        <v>0</v>
      </c>
      <c r="V15" s="8"/>
      <c r="W15" s="9"/>
      <c r="X15" s="22">
        <f t="shared" si="7"/>
        <v>0</v>
      </c>
      <c r="Y15" s="8"/>
      <c r="Z15" s="9"/>
      <c r="AA15" s="22">
        <f t="shared" si="8"/>
        <v>0</v>
      </c>
      <c r="AB15" s="33">
        <f t="shared" si="9"/>
        <v>0</v>
      </c>
      <c r="AC15" s="29"/>
      <c r="AD15" s="55">
        <f t="shared" si="0"/>
        <v>0</v>
      </c>
      <c r="AF15" s="117"/>
      <c r="AG15" s="93" t="s">
        <v>124</v>
      </c>
      <c r="AH15" s="11"/>
      <c r="AI15" s="12"/>
      <c r="AJ15" s="76"/>
      <c r="AK15" s="73">
        <f t="shared" si="11"/>
        <v>0</v>
      </c>
    </row>
    <row r="16" spans="1:37" ht="15.75" customHeight="1">
      <c r="A16" s="54">
        <v>12</v>
      </c>
      <c r="B16" s="50" t="s">
        <v>29</v>
      </c>
      <c r="C16" s="7"/>
      <c r="D16" s="8"/>
      <c r="E16" s="9"/>
      <c r="F16" s="22">
        <f t="shared" si="1"/>
        <v>0</v>
      </c>
      <c r="G16" s="8"/>
      <c r="H16" s="9"/>
      <c r="I16" s="22">
        <f t="shared" si="2"/>
        <v>0</v>
      </c>
      <c r="J16" s="8"/>
      <c r="K16" s="9"/>
      <c r="L16" s="22">
        <f t="shared" si="3"/>
        <v>0</v>
      </c>
      <c r="M16" s="8"/>
      <c r="N16" s="9"/>
      <c r="O16" s="22">
        <f t="shared" si="4"/>
        <v>0</v>
      </c>
      <c r="P16" s="8"/>
      <c r="Q16" s="9"/>
      <c r="R16" s="22">
        <f t="shared" si="5"/>
        <v>0</v>
      </c>
      <c r="S16" s="8"/>
      <c r="T16" s="9"/>
      <c r="U16" s="22">
        <f t="shared" si="6"/>
        <v>0</v>
      </c>
      <c r="V16" s="8"/>
      <c r="W16" s="9"/>
      <c r="X16" s="22">
        <f t="shared" si="7"/>
        <v>0</v>
      </c>
      <c r="Y16" s="8"/>
      <c r="Z16" s="9"/>
      <c r="AA16" s="22">
        <f t="shared" si="8"/>
        <v>0</v>
      </c>
      <c r="AB16" s="33">
        <f t="shared" si="9"/>
        <v>0</v>
      </c>
      <c r="AC16" s="29"/>
      <c r="AD16" s="55">
        <f t="shared" si="0"/>
        <v>0</v>
      </c>
      <c r="AF16" s="117"/>
      <c r="AG16" s="93" t="s">
        <v>125</v>
      </c>
      <c r="AH16" s="11"/>
      <c r="AI16" s="12"/>
      <c r="AJ16" s="76"/>
      <c r="AK16" s="73">
        <f t="shared" si="11"/>
        <v>0</v>
      </c>
    </row>
    <row r="17" spans="1:37" ht="15.75" customHeight="1">
      <c r="A17" s="54">
        <v>13</v>
      </c>
      <c r="B17" s="50" t="s">
        <v>30</v>
      </c>
      <c r="C17" s="7"/>
      <c r="D17" s="8"/>
      <c r="E17" s="9"/>
      <c r="F17" s="22">
        <f t="shared" si="1"/>
        <v>0</v>
      </c>
      <c r="G17" s="8"/>
      <c r="H17" s="9"/>
      <c r="I17" s="22">
        <f t="shared" si="2"/>
        <v>0</v>
      </c>
      <c r="J17" s="8"/>
      <c r="K17" s="9"/>
      <c r="L17" s="22">
        <f t="shared" si="3"/>
        <v>0</v>
      </c>
      <c r="M17" s="8"/>
      <c r="N17" s="9"/>
      <c r="O17" s="22">
        <f t="shared" si="4"/>
        <v>0</v>
      </c>
      <c r="P17" s="8"/>
      <c r="Q17" s="9"/>
      <c r="R17" s="22">
        <f t="shared" si="5"/>
        <v>0</v>
      </c>
      <c r="S17" s="8"/>
      <c r="T17" s="9"/>
      <c r="U17" s="22">
        <f t="shared" si="6"/>
        <v>0</v>
      </c>
      <c r="V17" s="8"/>
      <c r="W17" s="9"/>
      <c r="X17" s="22">
        <f t="shared" si="7"/>
        <v>0</v>
      </c>
      <c r="Y17" s="8"/>
      <c r="Z17" s="9"/>
      <c r="AA17" s="22">
        <f t="shared" si="8"/>
        <v>0</v>
      </c>
      <c r="AB17" s="33">
        <f t="shared" si="9"/>
        <v>0</v>
      </c>
      <c r="AC17" s="29"/>
      <c r="AD17" s="55">
        <f t="shared" si="0"/>
        <v>0</v>
      </c>
      <c r="AF17" s="117"/>
      <c r="AG17" s="93" t="s">
        <v>126</v>
      </c>
      <c r="AH17" s="11"/>
      <c r="AI17" s="12"/>
      <c r="AJ17" s="76"/>
      <c r="AK17" s="73">
        <f t="shared" si="11"/>
        <v>0</v>
      </c>
    </row>
    <row r="18" spans="1:37" ht="15.75" customHeight="1">
      <c r="A18" s="54">
        <v>14</v>
      </c>
      <c r="B18" s="50" t="s">
        <v>31</v>
      </c>
      <c r="C18" s="7"/>
      <c r="D18" s="8"/>
      <c r="E18" s="9"/>
      <c r="F18" s="22">
        <f t="shared" si="1"/>
        <v>0</v>
      </c>
      <c r="G18" s="8"/>
      <c r="H18" s="9"/>
      <c r="I18" s="22">
        <f t="shared" si="2"/>
        <v>0</v>
      </c>
      <c r="J18" s="8"/>
      <c r="K18" s="9"/>
      <c r="L18" s="22">
        <f t="shared" si="3"/>
        <v>0</v>
      </c>
      <c r="M18" s="8"/>
      <c r="N18" s="9"/>
      <c r="O18" s="22">
        <f t="shared" si="4"/>
        <v>0</v>
      </c>
      <c r="P18" s="8"/>
      <c r="Q18" s="9"/>
      <c r="R18" s="22">
        <f t="shared" si="5"/>
        <v>0</v>
      </c>
      <c r="S18" s="8"/>
      <c r="T18" s="9"/>
      <c r="U18" s="22">
        <f t="shared" si="6"/>
        <v>0</v>
      </c>
      <c r="V18" s="8"/>
      <c r="W18" s="9"/>
      <c r="X18" s="22">
        <f t="shared" si="7"/>
        <v>0</v>
      </c>
      <c r="Y18" s="8"/>
      <c r="Z18" s="9"/>
      <c r="AA18" s="22">
        <f t="shared" si="8"/>
        <v>0</v>
      </c>
      <c r="AB18" s="33">
        <f t="shared" si="9"/>
        <v>0</v>
      </c>
      <c r="AC18" s="29"/>
      <c r="AD18" s="55">
        <f t="shared" si="0"/>
        <v>0</v>
      </c>
      <c r="AF18" s="117"/>
      <c r="AG18" s="93" t="s">
        <v>127</v>
      </c>
      <c r="AH18" s="11"/>
      <c r="AI18" s="12"/>
      <c r="AJ18" s="76"/>
      <c r="AK18" s="73">
        <f t="shared" si="11"/>
        <v>0</v>
      </c>
    </row>
    <row r="19" spans="1:37" ht="15.75" customHeight="1">
      <c r="A19" s="54">
        <v>15</v>
      </c>
      <c r="B19" s="50" t="s">
        <v>32</v>
      </c>
      <c r="C19" s="7"/>
      <c r="D19" s="8"/>
      <c r="E19" s="9"/>
      <c r="F19" s="22">
        <f t="shared" si="1"/>
        <v>0</v>
      </c>
      <c r="G19" s="8"/>
      <c r="H19" s="9"/>
      <c r="I19" s="22">
        <f t="shared" si="2"/>
        <v>0</v>
      </c>
      <c r="J19" s="8"/>
      <c r="K19" s="9"/>
      <c r="L19" s="22">
        <f t="shared" si="3"/>
        <v>0</v>
      </c>
      <c r="M19" s="8"/>
      <c r="N19" s="9"/>
      <c r="O19" s="22">
        <f t="shared" si="4"/>
        <v>0</v>
      </c>
      <c r="P19" s="8"/>
      <c r="Q19" s="9"/>
      <c r="R19" s="22">
        <f t="shared" si="5"/>
        <v>0</v>
      </c>
      <c r="S19" s="8"/>
      <c r="T19" s="9"/>
      <c r="U19" s="22">
        <f t="shared" si="6"/>
        <v>0</v>
      </c>
      <c r="V19" s="8"/>
      <c r="W19" s="9"/>
      <c r="X19" s="22">
        <f t="shared" si="7"/>
        <v>0</v>
      </c>
      <c r="Y19" s="8"/>
      <c r="Z19" s="9"/>
      <c r="AA19" s="22">
        <f t="shared" si="8"/>
        <v>0</v>
      </c>
      <c r="AB19" s="33">
        <f t="shared" si="9"/>
        <v>0</v>
      </c>
      <c r="AC19" s="29"/>
      <c r="AD19" s="55">
        <f t="shared" si="0"/>
        <v>0</v>
      </c>
      <c r="AF19" s="117"/>
      <c r="AG19" s="93" t="s">
        <v>128</v>
      </c>
      <c r="AH19" s="11"/>
      <c r="AI19" s="12"/>
      <c r="AJ19" s="76"/>
      <c r="AK19" s="73">
        <f t="shared" si="11"/>
        <v>0</v>
      </c>
    </row>
    <row r="20" spans="1:37" ht="15.75" customHeight="1">
      <c r="A20" s="54">
        <v>16</v>
      </c>
      <c r="B20" s="50" t="s">
        <v>33</v>
      </c>
      <c r="C20" s="7"/>
      <c r="D20" s="8"/>
      <c r="E20" s="9"/>
      <c r="F20" s="22">
        <f t="shared" si="1"/>
        <v>0</v>
      </c>
      <c r="G20" s="8"/>
      <c r="H20" s="9"/>
      <c r="I20" s="22">
        <f t="shared" si="2"/>
        <v>0</v>
      </c>
      <c r="J20" s="8"/>
      <c r="K20" s="9"/>
      <c r="L20" s="22">
        <f t="shared" si="3"/>
        <v>0</v>
      </c>
      <c r="M20" s="8"/>
      <c r="N20" s="9"/>
      <c r="O20" s="22">
        <f t="shared" si="4"/>
        <v>0</v>
      </c>
      <c r="P20" s="8"/>
      <c r="Q20" s="9"/>
      <c r="R20" s="22">
        <f t="shared" si="5"/>
        <v>0</v>
      </c>
      <c r="S20" s="8"/>
      <c r="T20" s="9"/>
      <c r="U20" s="22">
        <f t="shared" si="6"/>
        <v>0</v>
      </c>
      <c r="V20" s="8"/>
      <c r="W20" s="9"/>
      <c r="X20" s="22">
        <f t="shared" si="7"/>
        <v>0</v>
      </c>
      <c r="Y20" s="8"/>
      <c r="Z20" s="9"/>
      <c r="AA20" s="22">
        <f t="shared" si="8"/>
        <v>0</v>
      </c>
      <c r="AB20" s="33">
        <f t="shared" si="9"/>
        <v>0</v>
      </c>
      <c r="AC20" s="29"/>
      <c r="AD20" s="55">
        <f t="shared" si="0"/>
        <v>0</v>
      </c>
      <c r="AF20" s="117"/>
      <c r="AG20" s="93" t="s">
        <v>129</v>
      </c>
      <c r="AH20" s="11"/>
      <c r="AI20" s="12"/>
      <c r="AJ20" s="76"/>
      <c r="AK20" s="73">
        <f t="shared" si="11"/>
        <v>0</v>
      </c>
    </row>
    <row r="21" spans="1:37" ht="15.75" customHeight="1">
      <c r="A21" s="54">
        <v>17</v>
      </c>
      <c r="B21" s="50" t="s">
        <v>34</v>
      </c>
      <c r="C21" s="7"/>
      <c r="D21" s="8"/>
      <c r="E21" s="9"/>
      <c r="F21" s="22">
        <f t="shared" si="1"/>
        <v>0</v>
      </c>
      <c r="G21" s="8"/>
      <c r="H21" s="9"/>
      <c r="I21" s="22">
        <f t="shared" si="2"/>
        <v>0</v>
      </c>
      <c r="J21" s="8"/>
      <c r="K21" s="9"/>
      <c r="L21" s="22">
        <f t="shared" si="3"/>
        <v>0</v>
      </c>
      <c r="M21" s="8"/>
      <c r="N21" s="9"/>
      <c r="O21" s="22">
        <f t="shared" si="4"/>
        <v>0</v>
      </c>
      <c r="P21" s="8"/>
      <c r="Q21" s="9"/>
      <c r="R21" s="22">
        <f t="shared" si="5"/>
        <v>0</v>
      </c>
      <c r="S21" s="8"/>
      <c r="T21" s="9"/>
      <c r="U21" s="22">
        <f t="shared" si="6"/>
        <v>0</v>
      </c>
      <c r="V21" s="8"/>
      <c r="W21" s="9"/>
      <c r="X21" s="22">
        <f t="shared" si="7"/>
        <v>0</v>
      </c>
      <c r="Y21" s="8"/>
      <c r="Z21" s="9"/>
      <c r="AA21" s="22">
        <f t="shared" si="8"/>
        <v>0</v>
      </c>
      <c r="AB21" s="33">
        <f t="shared" si="9"/>
        <v>0</v>
      </c>
      <c r="AC21" s="29"/>
      <c r="AD21" s="55">
        <f t="shared" si="0"/>
        <v>0</v>
      </c>
      <c r="AF21" s="117"/>
      <c r="AG21" s="93" t="s">
        <v>130</v>
      </c>
      <c r="AH21" s="11"/>
      <c r="AI21" s="12"/>
      <c r="AJ21" s="76"/>
      <c r="AK21" s="73">
        <f t="shared" si="11"/>
        <v>0</v>
      </c>
    </row>
    <row r="22" spans="1:37" ht="15.75" customHeight="1">
      <c r="A22" s="54">
        <v>18</v>
      </c>
      <c r="B22" s="50" t="s">
        <v>35</v>
      </c>
      <c r="C22" s="7"/>
      <c r="D22" s="8"/>
      <c r="E22" s="9"/>
      <c r="F22" s="22">
        <f t="shared" si="1"/>
        <v>0</v>
      </c>
      <c r="G22" s="8"/>
      <c r="H22" s="9"/>
      <c r="I22" s="22">
        <f t="shared" si="2"/>
        <v>0</v>
      </c>
      <c r="J22" s="8"/>
      <c r="K22" s="9"/>
      <c r="L22" s="22">
        <f t="shared" si="3"/>
        <v>0</v>
      </c>
      <c r="M22" s="8"/>
      <c r="N22" s="9"/>
      <c r="O22" s="22">
        <f t="shared" si="4"/>
        <v>0</v>
      </c>
      <c r="P22" s="8"/>
      <c r="Q22" s="9"/>
      <c r="R22" s="22">
        <f t="shared" si="5"/>
        <v>0</v>
      </c>
      <c r="S22" s="8"/>
      <c r="T22" s="9"/>
      <c r="U22" s="22">
        <f t="shared" si="6"/>
        <v>0</v>
      </c>
      <c r="V22" s="8"/>
      <c r="W22" s="9"/>
      <c r="X22" s="22">
        <f t="shared" si="7"/>
        <v>0</v>
      </c>
      <c r="Y22" s="8"/>
      <c r="Z22" s="9"/>
      <c r="AA22" s="22">
        <f t="shared" si="8"/>
        <v>0</v>
      </c>
      <c r="AB22" s="33">
        <f t="shared" si="9"/>
        <v>0</v>
      </c>
      <c r="AC22" s="29"/>
      <c r="AD22" s="55">
        <f t="shared" si="0"/>
        <v>0</v>
      </c>
      <c r="AF22" s="117"/>
      <c r="AG22" s="93" t="s">
        <v>131</v>
      </c>
      <c r="AH22" s="11"/>
      <c r="AI22" s="12"/>
      <c r="AJ22" s="76"/>
      <c r="AK22" s="73">
        <f t="shared" si="11"/>
        <v>0</v>
      </c>
    </row>
    <row r="23" spans="1:37" ht="15.75" customHeight="1">
      <c r="A23" s="54">
        <v>19</v>
      </c>
      <c r="B23" s="50" t="s">
        <v>36</v>
      </c>
      <c r="C23" s="7"/>
      <c r="D23" s="8"/>
      <c r="E23" s="9"/>
      <c r="F23" s="22">
        <f t="shared" si="1"/>
        <v>0</v>
      </c>
      <c r="G23" s="8"/>
      <c r="H23" s="9"/>
      <c r="I23" s="22">
        <f t="shared" si="2"/>
        <v>0</v>
      </c>
      <c r="J23" s="8"/>
      <c r="K23" s="9"/>
      <c r="L23" s="22">
        <f t="shared" si="3"/>
        <v>0</v>
      </c>
      <c r="M23" s="8"/>
      <c r="N23" s="9"/>
      <c r="O23" s="22">
        <f t="shared" si="4"/>
        <v>0</v>
      </c>
      <c r="P23" s="8"/>
      <c r="Q23" s="9"/>
      <c r="R23" s="22">
        <f t="shared" si="5"/>
        <v>0</v>
      </c>
      <c r="S23" s="8"/>
      <c r="T23" s="9"/>
      <c r="U23" s="22">
        <f t="shared" si="6"/>
        <v>0</v>
      </c>
      <c r="V23" s="8"/>
      <c r="W23" s="9"/>
      <c r="X23" s="22">
        <f t="shared" si="7"/>
        <v>0</v>
      </c>
      <c r="Y23" s="8"/>
      <c r="Z23" s="9"/>
      <c r="AA23" s="22">
        <f t="shared" si="8"/>
        <v>0</v>
      </c>
      <c r="AB23" s="33">
        <f t="shared" si="9"/>
        <v>0</v>
      </c>
      <c r="AC23" s="29"/>
      <c r="AD23" s="55">
        <f t="shared" si="0"/>
        <v>0</v>
      </c>
      <c r="AF23" s="117"/>
      <c r="AG23" s="93" t="s">
        <v>132</v>
      </c>
      <c r="AH23" s="11"/>
      <c r="AI23" s="12"/>
      <c r="AJ23" s="76"/>
      <c r="AK23" s="73">
        <f t="shared" si="11"/>
        <v>0</v>
      </c>
    </row>
    <row r="24" spans="1:37" ht="15.75" customHeight="1">
      <c r="A24" s="54">
        <v>20</v>
      </c>
      <c r="B24" s="50" t="s">
        <v>37</v>
      </c>
      <c r="C24" s="7"/>
      <c r="D24" s="8"/>
      <c r="E24" s="9"/>
      <c r="F24" s="22">
        <f t="shared" si="1"/>
        <v>0</v>
      </c>
      <c r="G24" s="8"/>
      <c r="H24" s="9"/>
      <c r="I24" s="22">
        <f t="shared" si="2"/>
        <v>0</v>
      </c>
      <c r="J24" s="8"/>
      <c r="K24" s="9"/>
      <c r="L24" s="22">
        <f t="shared" si="3"/>
        <v>0</v>
      </c>
      <c r="M24" s="8"/>
      <c r="N24" s="9"/>
      <c r="O24" s="22">
        <f t="shared" si="4"/>
        <v>0</v>
      </c>
      <c r="P24" s="8"/>
      <c r="Q24" s="9"/>
      <c r="R24" s="22">
        <f t="shared" si="5"/>
        <v>0</v>
      </c>
      <c r="S24" s="8"/>
      <c r="T24" s="9"/>
      <c r="U24" s="22">
        <f t="shared" si="6"/>
        <v>0</v>
      </c>
      <c r="V24" s="8"/>
      <c r="W24" s="9"/>
      <c r="X24" s="22">
        <f t="shared" si="7"/>
        <v>0</v>
      </c>
      <c r="Y24" s="8"/>
      <c r="Z24" s="9"/>
      <c r="AA24" s="22">
        <f t="shared" si="8"/>
        <v>0</v>
      </c>
      <c r="AB24" s="33">
        <f t="shared" si="9"/>
        <v>0</v>
      </c>
      <c r="AC24" s="29"/>
      <c r="AD24" s="55">
        <f t="shared" si="0"/>
        <v>0</v>
      </c>
      <c r="AF24" s="117"/>
      <c r="AG24" s="93" t="s">
        <v>133</v>
      </c>
      <c r="AH24" s="11"/>
      <c r="AI24" s="12"/>
      <c r="AJ24" s="76"/>
      <c r="AK24" s="73">
        <f t="shared" si="11"/>
        <v>0</v>
      </c>
    </row>
    <row r="25" spans="1:37" ht="15.75" customHeight="1">
      <c r="A25" s="54">
        <v>21</v>
      </c>
      <c r="B25" s="50" t="s">
        <v>38</v>
      </c>
      <c r="C25" s="7"/>
      <c r="D25" s="8"/>
      <c r="E25" s="9"/>
      <c r="F25" s="22">
        <f t="shared" si="1"/>
        <v>0</v>
      </c>
      <c r="G25" s="8"/>
      <c r="H25" s="9"/>
      <c r="I25" s="22">
        <f t="shared" si="2"/>
        <v>0</v>
      </c>
      <c r="J25" s="8"/>
      <c r="K25" s="9"/>
      <c r="L25" s="22">
        <f t="shared" si="3"/>
        <v>0</v>
      </c>
      <c r="M25" s="8"/>
      <c r="N25" s="9"/>
      <c r="O25" s="22">
        <f t="shared" si="4"/>
        <v>0</v>
      </c>
      <c r="P25" s="8"/>
      <c r="Q25" s="9"/>
      <c r="R25" s="22">
        <f t="shared" si="5"/>
        <v>0</v>
      </c>
      <c r="S25" s="8"/>
      <c r="T25" s="9"/>
      <c r="U25" s="22">
        <f t="shared" si="6"/>
        <v>0</v>
      </c>
      <c r="V25" s="8"/>
      <c r="W25" s="9"/>
      <c r="X25" s="22">
        <f t="shared" si="7"/>
        <v>0</v>
      </c>
      <c r="Y25" s="8"/>
      <c r="Z25" s="9"/>
      <c r="AA25" s="22">
        <f t="shared" si="8"/>
        <v>0</v>
      </c>
      <c r="AB25" s="33">
        <f t="shared" si="9"/>
        <v>0</v>
      </c>
      <c r="AC25" s="29"/>
      <c r="AD25" s="55">
        <f t="shared" si="0"/>
        <v>0</v>
      </c>
      <c r="AF25" s="117"/>
      <c r="AG25" s="93" t="s">
        <v>134</v>
      </c>
      <c r="AH25" s="11"/>
      <c r="AI25" s="12"/>
      <c r="AJ25" s="76"/>
      <c r="AK25" s="73">
        <f t="shared" si="11"/>
        <v>0</v>
      </c>
    </row>
    <row r="26" spans="1:37" ht="15.75" customHeight="1">
      <c r="A26" s="54">
        <v>22</v>
      </c>
      <c r="B26" s="50" t="s">
        <v>39</v>
      </c>
      <c r="C26" s="7"/>
      <c r="D26" s="8"/>
      <c r="E26" s="9"/>
      <c r="F26" s="22">
        <f t="shared" si="1"/>
        <v>0</v>
      </c>
      <c r="G26" s="8"/>
      <c r="H26" s="9"/>
      <c r="I26" s="22">
        <f t="shared" si="2"/>
        <v>0</v>
      </c>
      <c r="J26" s="8"/>
      <c r="K26" s="9"/>
      <c r="L26" s="22">
        <f t="shared" si="3"/>
        <v>0</v>
      </c>
      <c r="M26" s="8"/>
      <c r="N26" s="9"/>
      <c r="O26" s="22">
        <f t="shared" si="4"/>
        <v>0</v>
      </c>
      <c r="P26" s="8"/>
      <c r="Q26" s="9"/>
      <c r="R26" s="22">
        <f t="shared" si="5"/>
        <v>0</v>
      </c>
      <c r="S26" s="8"/>
      <c r="T26" s="9"/>
      <c r="U26" s="22">
        <f t="shared" si="6"/>
        <v>0</v>
      </c>
      <c r="V26" s="8"/>
      <c r="W26" s="9"/>
      <c r="X26" s="22">
        <f t="shared" si="7"/>
        <v>0</v>
      </c>
      <c r="Y26" s="8"/>
      <c r="Z26" s="9"/>
      <c r="AA26" s="22">
        <f t="shared" si="8"/>
        <v>0</v>
      </c>
      <c r="AB26" s="33">
        <f t="shared" si="9"/>
        <v>0</v>
      </c>
      <c r="AC26" s="29"/>
      <c r="AD26" s="55">
        <f t="shared" si="0"/>
        <v>0</v>
      </c>
      <c r="AF26" s="117"/>
      <c r="AG26" s="93" t="s">
        <v>135</v>
      </c>
      <c r="AH26" s="11"/>
      <c r="AI26" s="12"/>
      <c r="AJ26" s="76"/>
      <c r="AK26" s="73">
        <f t="shared" si="11"/>
        <v>0</v>
      </c>
    </row>
    <row r="27" spans="1:37" ht="15.75" customHeight="1">
      <c r="A27" s="54">
        <v>23</v>
      </c>
      <c r="B27" s="50" t="s">
        <v>40</v>
      </c>
      <c r="C27" s="7"/>
      <c r="D27" s="8"/>
      <c r="E27" s="9"/>
      <c r="F27" s="22">
        <f t="shared" si="1"/>
        <v>0</v>
      </c>
      <c r="G27" s="8"/>
      <c r="H27" s="9"/>
      <c r="I27" s="22">
        <f t="shared" si="2"/>
        <v>0</v>
      </c>
      <c r="J27" s="8"/>
      <c r="K27" s="9"/>
      <c r="L27" s="22">
        <f t="shared" si="3"/>
        <v>0</v>
      </c>
      <c r="M27" s="8"/>
      <c r="N27" s="9"/>
      <c r="O27" s="22">
        <f t="shared" si="4"/>
        <v>0</v>
      </c>
      <c r="P27" s="8"/>
      <c r="Q27" s="9"/>
      <c r="R27" s="22">
        <f t="shared" si="5"/>
        <v>0</v>
      </c>
      <c r="S27" s="8"/>
      <c r="T27" s="9"/>
      <c r="U27" s="22">
        <f t="shared" si="6"/>
        <v>0</v>
      </c>
      <c r="V27" s="8"/>
      <c r="W27" s="9"/>
      <c r="X27" s="22">
        <f t="shared" si="7"/>
        <v>0</v>
      </c>
      <c r="Y27" s="8"/>
      <c r="Z27" s="9"/>
      <c r="AA27" s="22">
        <f t="shared" si="8"/>
        <v>0</v>
      </c>
      <c r="AB27" s="33">
        <f t="shared" si="9"/>
        <v>0</v>
      </c>
      <c r="AC27" s="29"/>
      <c r="AD27" s="55">
        <f t="shared" si="0"/>
        <v>0</v>
      </c>
      <c r="AF27" s="117"/>
      <c r="AG27" s="93" t="s">
        <v>136</v>
      </c>
      <c r="AH27" s="11"/>
      <c r="AI27" s="12"/>
      <c r="AJ27" s="76"/>
      <c r="AK27" s="73">
        <f t="shared" si="11"/>
        <v>0</v>
      </c>
    </row>
    <row r="28" spans="1:37" ht="15.75" customHeight="1">
      <c r="A28" s="54">
        <v>24</v>
      </c>
      <c r="B28" s="50" t="s">
        <v>41</v>
      </c>
      <c r="C28" s="7"/>
      <c r="D28" s="8"/>
      <c r="E28" s="9"/>
      <c r="F28" s="22">
        <f t="shared" si="1"/>
        <v>0</v>
      </c>
      <c r="G28" s="8"/>
      <c r="H28" s="9"/>
      <c r="I28" s="22">
        <f t="shared" si="2"/>
        <v>0</v>
      </c>
      <c r="J28" s="8"/>
      <c r="K28" s="9"/>
      <c r="L28" s="22">
        <f t="shared" si="3"/>
        <v>0</v>
      </c>
      <c r="M28" s="8"/>
      <c r="N28" s="9"/>
      <c r="O28" s="22">
        <f t="shared" si="4"/>
        <v>0</v>
      </c>
      <c r="P28" s="8"/>
      <c r="Q28" s="9"/>
      <c r="R28" s="22">
        <f t="shared" si="5"/>
        <v>0</v>
      </c>
      <c r="S28" s="8"/>
      <c r="T28" s="9"/>
      <c r="U28" s="22">
        <f t="shared" si="6"/>
        <v>0</v>
      </c>
      <c r="V28" s="8"/>
      <c r="W28" s="9"/>
      <c r="X28" s="22">
        <f t="shared" si="7"/>
        <v>0</v>
      </c>
      <c r="Y28" s="8"/>
      <c r="Z28" s="9"/>
      <c r="AA28" s="22">
        <f t="shared" si="8"/>
        <v>0</v>
      </c>
      <c r="AB28" s="33">
        <f t="shared" si="9"/>
        <v>0</v>
      </c>
      <c r="AC28" s="29"/>
      <c r="AD28" s="55">
        <f t="shared" si="0"/>
        <v>0</v>
      </c>
      <c r="AF28" s="117"/>
      <c r="AG28" s="93" t="s">
        <v>137</v>
      </c>
      <c r="AH28" s="11"/>
      <c r="AI28" s="12"/>
      <c r="AJ28" s="76"/>
      <c r="AK28" s="73">
        <f t="shared" si="11"/>
        <v>0</v>
      </c>
    </row>
    <row r="29" spans="1:37" ht="15.75" customHeight="1">
      <c r="A29" s="54">
        <v>25</v>
      </c>
      <c r="B29" s="50" t="s">
        <v>43</v>
      </c>
      <c r="C29" s="7"/>
      <c r="D29" s="8"/>
      <c r="E29" s="9"/>
      <c r="F29" s="22">
        <f t="shared" si="1"/>
        <v>0</v>
      </c>
      <c r="G29" s="8"/>
      <c r="H29" s="9"/>
      <c r="I29" s="22">
        <f t="shared" si="2"/>
        <v>0</v>
      </c>
      <c r="J29" s="8"/>
      <c r="K29" s="9"/>
      <c r="L29" s="22">
        <f t="shared" si="3"/>
        <v>0</v>
      </c>
      <c r="M29" s="8"/>
      <c r="N29" s="9"/>
      <c r="O29" s="22">
        <f t="shared" si="4"/>
        <v>0</v>
      </c>
      <c r="P29" s="8"/>
      <c r="Q29" s="9"/>
      <c r="R29" s="22">
        <f t="shared" si="5"/>
        <v>0</v>
      </c>
      <c r="S29" s="8"/>
      <c r="T29" s="9"/>
      <c r="U29" s="22">
        <f t="shared" si="6"/>
        <v>0</v>
      </c>
      <c r="V29" s="8"/>
      <c r="W29" s="9"/>
      <c r="X29" s="22">
        <f t="shared" si="7"/>
        <v>0</v>
      </c>
      <c r="Y29" s="8"/>
      <c r="Z29" s="9"/>
      <c r="AA29" s="22">
        <f t="shared" si="8"/>
        <v>0</v>
      </c>
      <c r="AB29" s="33">
        <f t="shared" si="9"/>
        <v>0</v>
      </c>
      <c r="AC29" s="29"/>
      <c r="AD29" s="55">
        <f t="shared" si="0"/>
        <v>0</v>
      </c>
      <c r="AF29" s="117"/>
      <c r="AG29" s="93" t="s">
        <v>138</v>
      </c>
      <c r="AH29" s="11"/>
      <c r="AI29" s="12"/>
      <c r="AJ29" s="76"/>
      <c r="AK29" s="73">
        <f t="shared" si="11"/>
        <v>0</v>
      </c>
    </row>
    <row r="30" spans="1:37" ht="15.75" customHeight="1" thickBot="1">
      <c r="A30" s="54">
        <v>26</v>
      </c>
      <c r="B30" s="50" t="s">
        <v>44</v>
      </c>
      <c r="C30" s="7"/>
      <c r="D30" s="8"/>
      <c r="E30" s="9"/>
      <c r="F30" s="22">
        <f t="shared" si="1"/>
        <v>0</v>
      </c>
      <c r="G30" s="8"/>
      <c r="H30" s="9"/>
      <c r="I30" s="22">
        <f t="shared" si="2"/>
        <v>0</v>
      </c>
      <c r="J30" s="8"/>
      <c r="K30" s="9"/>
      <c r="L30" s="22">
        <f t="shared" si="3"/>
        <v>0</v>
      </c>
      <c r="M30" s="8"/>
      <c r="N30" s="9"/>
      <c r="O30" s="22">
        <f t="shared" si="4"/>
        <v>0</v>
      </c>
      <c r="P30" s="8"/>
      <c r="Q30" s="9"/>
      <c r="R30" s="22">
        <f t="shared" si="5"/>
        <v>0</v>
      </c>
      <c r="S30" s="8"/>
      <c r="T30" s="9"/>
      <c r="U30" s="22">
        <f t="shared" si="6"/>
        <v>0</v>
      </c>
      <c r="V30" s="8"/>
      <c r="W30" s="9"/>
      <c r="X30" s="22">
        <f t="shared" si="7"/>
        <v>0</v>
      </c>
      <c r="Y30" s="8"/>
      <c r="Z30" s="9"/>
      <c r="AA30" s="22">
        <f t="shared" si="8"/>
        <v>0</v>
      </c>
      <c r="AB30" s="33">
        <f t="shared" si="9"/>
        <v>0</v>
      </c>
      <c r="AC30" s="29"/>
      <c r="AD30" s="55">
        <f t="shared" si="0"/>
        <v>0</v>
      </c>
      <c r="AF30" s="117"/>
      <c r="AG30" s="94" t="s">
        <v>139</v>
      </c>
      <c r="AH30" s="71"/>
      <c r="AI30" s="72"/>
      <c r="AJ30" s="77"/>
      <c r="AK30" s="74">
        <f t="shared" si="11"/>
        <v>0</v>
      </c>
    </row>
    <row r="31" spans="1:37" ht="15.75" customHeight="1" thickBot="1">
      <c r="A31" s="54">
        <v>27</v>
      </c>
      <c r="B31" s="50" t="s">
        <v>45</v>
      </c>
      <c r="C31" s="7"/>
      <c r="D31" s="8"/>
      <c r="E31" s="9"/>
      <c r="F31" s="22">
        <f t="shared" si="1"/>
        <v>0</v>
      </c>
      <c r="G31" s="8"/>
      <c r="H31" s="9"/>
      <c r="I31" s="22">
        <f t="shared" si="2"/>
        <v>0</v>
      </c>
      <c r="J31" s="8"/>
      <c r="K31" s="9"/>
      <c r="L31" s="22">
        <f t="shared" si="3"/>
        <v>0</v>
      </c>
      <c r="M31" s="8"/>
      <c r="N31" s="9"/>
      <c r="O31" s="22">
        <f t="shared" si="4"/>
        <v>0</v>
      </c>
      <c r="P31" s="8"/>
      <c r="Q31" s="9"/>
      <c r="R31" s="22">
        <f t="shared" si="5"/>
        <v>0</v>
      </c>
      <c r="S31" s="8"/>
      <c r="T31" s="9"/>
      <c r="U31" s="22">
        <f t="shared" si="6"/>
        <v>0</v>
      </c>
      <c r="V31" s="8"/>
      <c r="W31" s="9"/>
      <c r="X31" s="22">
        <f t="shared" si="7"/>
        <v>0</v>
      </c>
      <c r="Y31" s="8"/>
      <c r="Z31" s="9"/>
      <c r="AA31" s="22">
        <f t="shared" si="8"/>
        <v>0</v>
      </c>
      <c r="AB31" s="33">
        <f t="shared" si="9"/>
        <v>0</v>
      </c>
      <c r="AC31" s="29"/>
      <c r="AD31" s="55">
        <f t="shared" si="0"/>
        <v>0</v>
      </c>
      <c r="AF31" s="105" t="s">
        <v>42</v>
      </c>
      <c r="AG31" s="122"/>
      <c r="AH31" s="88">
        <f>SUM(AH5:AH30)</f>
        <v>0</v>
      </c>
      <c r="AI31" s="88">
        <f t="shared" ref="AI31:AK31" si="12">SUM(AI5:AI30)</f>
        <v>0</v>
      </c>
      <c r="AJ31" s="88">
        <f t="shared" si="12"/>
        <v>0</v>
      </c>
      <c r="AK31" s="89">
        <f t="shared" si="12"/>
        <v>0</v>
      </c>
    </row>
    <row r="32" spans="1:37" ht="15.75" customHeight="1">
      <c r="A32" s="54">
        <v>28</v>
      </c>
      <c r="B32" s="50" t="s">
        <v>46</v>
      </c>
      <c r="C32" s="7"/>
      <c r="D32" s="8"/>
      <c r="E32" s="9"/>
      <c r="F32" s="22">
        <f t="shared" si="1"/>
        <v>0</v>
      </c>
      <c r="G32" s="8"/>
      <c r="H32" s="9"/>
      <c r="I32" s="22">
        <f t="shared" si="2"/>
        <v>0</v>
      </c>
      <c r="J32" s="8"/>
      <c r="K32" s="9"/>
      <c r="L32" s="22">
        <f t="shared" si="3"/>
        <v>0</v>
      </c>
      <c r="M32" s="8"/>
      <c r="N32" s="9"/>
      <c r="O32" s="22">
        <f t="shared" si="4"/>
        <v>0</v>
      </c>
      <c r="P32" s="8"/>
      <c r="Q32" s="9"/>
      <c r="R32" s="22">
        <f t="shared" si="5"/>
        <v>0</v>
      </c>
      <c r="S32" s="8"/>
      <c r="T32" s="9"/>
      <c r="U32" s="22">
        <f t="shared" si="6"/>
        <v>0</v>
      </c>
      <c r="V32" s="8"/>
      <c r="W32" s="9"/>
      <c r="X32" s="22">
        <f t="shared" si="7"/>
        <v>0</v>
      </c>
      <c r="Y32" s="8"/>
      <c r="Z32" s="9"/>
      <c r="AA32" s="22">
        <f t="shared" si="8"/>
        <v>0</v>
      </c>
      <c r="AB32" s="33">
        <f t="shared" si="9"/>
        <v>0</v>
      </c>
      <c r="AC32" s="29"/>
      <c r="AD32" s="55">
        <f t="shared" si="0"/>
        <v>0</v>
      </c>
    </row>
    <row r="33" spans="1:30" ht="15.75" customHeight="1">
      <c r="A33" s="54">
        <v>29</v>
      </c>
      <c r="B33" s="50" t="s">
        <v>47</v>
      </c>
      <c r="C33" s="7"/>
      <c r="D33" s="8"/>
      <c r="E33" s="9"/>
      <c r="F33" s="22">
        <f t="shared" si="1"/>
        <v>0</v>
      </c>
      <c r="G33" s="8"/>
      <c r="H33" s="9"/>
      <c r="I33" s="22">
        <f t="shared" si="2"/>
        <v>0</v>
      </c>
      <c r="J33" s="8"/>
      <c r="K33" s="9"/>
      <c r="L33" s="22">
        <f t="shared" si="3"/>
        <v>0</v>
      </c>
      <c r="M33" s="8"/>
      <c r="N33" s="9"/>
      <c r="O33" s="22">
        <f t="shared" si="4"/>
        <v>0</v>
      </c>
      <c r="P33" s="8"/>
      <c r="Q33" s="9"/>
      <c r="R33" s="22">
        <f t="shared" si="5"/>
        <v>0</v>
      </c>
      <c r="S33" s="8"/>
      <c r="T33" s="9"/>
      <c r="U33" s="22">
        <f t="shared" si="6"/>
        <v>0</v>
      </c>
      <c r="V33" s="8"/>
      <c r="W33" s="9"/>
      <c r="X33" s="22">
        <f t="shared" si="7"/>
        <v>0</v>
      </c>
      <c r="Y33" s="8"/>
      <c r="Z33" s="9"/>
      <c r="AA33" s="22">
        <f t="shared" si="8"/>
        <v>0</v>
      </c>
      <c r="AB33" s="33">
        <f t="shared" si="9"/>
        <v>0</v>
      </c>
      <c r="AC33" s="29"/>
      <c r="AD33" s="55">
        <f t="shared" si="0"/>
        <v>0</v>
      </c>
    </row>
    <row r="34" spans="1:30" ht="15.75" customHeight="1">
      <c r="A34" s="54">
        <v>30</v>
      </c>
      <c r="B34" s="50" t="s">
        <v>48</v>
      </c>
      <c r="C34" s="7"/>
      <c r="D34" s="8"/>
      <c r="E34" s="9"/>
      <c r="F34" s="22">
        <f t="shared" si="1"/>
        <v>0</v>
      </c>
      <c r="G34" s="8"/>
      <c r="H34" s="9"/>
      <c r="I34" s="22">
        <f t="shared" si="2"/>
        <v>0</v>
      </c>
      <c r="J34" s="8"/>
      <c r="K34" s="9"/>
      <c r="L34" s="22">
        <f t="shared" si="3"/>
        <v>0</v>
      </c>
      <c r="M34" s="8"/>
      <c r="N34" s="9"/>
      <c r="O34" s="22">
        <f t="shared" si="4"/>
        <v>0</v>
      </c>
      <c r="P34" s="8"/>
      <c r="Q34" s="9"/>
      <c r="R34" s="22">
        <f t="shared" si="5"/>
        <v>0</v>
      </c>
      <c r="S34" s="8"/>
      <c r="T34" s="9"/>
      <c r="U34" s="22">
        <f t="shared" si="6"/>
        <v>0</v>
      </c>
      <c r="V34" s="8"/>
      <c r="W34" s="9"/>
      <c r="X34" s="22">
        <f t="shared" si="7"/>
        <v>0</v>
      </c>
      <c r="Y34" s="8"/>
      <c r="Z34" s="9"/>
      <c r="AA34" s="22">
        <f t="shared" si="8"/>
        <v>0</v>
      </c>
      <c r="AB34" s="33">
        <f t="shared" si="9"/>
        <v>0</v>
      </c>
      <c r="AC34" s="29"/>
      <c r="AD34" s="55">
        <f t="shared" si="0"/>
        <v>0</v>
      </c>
    </row>
    <row r="35" spans="1:30" ht="15.75" customHeight="1">
      <c r="A35" s="54">
        <v>31</v>
      </c>
      <c r="B35" s="50" t="s">
        <v>49</v>
      </c>
      <c r="C35" s="7"/>
      <c r="D35" s="8"/>
      <c r="E35" s="9"/>
      <c r="F35" s="22">
        <f t="shared" si="1"/>
        <v>0</v>
      </c>
      <c r="G35" s="8"/>
      <c r="H35" s="9"/>
      <c r="I35" s="22">
        <f t="shared" si="2"/>
        <v>0</v>
      </c>
      <c r="J35" s="8"/>
      <c r="K35" s="9"/>
      <c r="L35" s="22">
        <f t="shared" si="3"/>
        <v>0</v>
      </c>
      <c r="M35" s="8"/>
      <c r="N35" s="9"/>
      <c r="O35" s="22">
        <f t="shared" si="4"/>
        <v>0</v>
      </c>
      <c r="P35" s="8"/>
      <c r="Q35" s="9"/>
      <c r="R35" s="22">
        <f t="shared" si="5"/>
        <v>0</v>
      </c>
      <c r="S35" s="8"/>
      <c r="T35" s="9"/>
      <c r="U35" s="22">
        <f t="shared" si="6"/>
        <v>0</v>
      </c>
      <c r="V35" s="8"/>
      <c r="W35" s="9"/>
      <c r="X35" s="22">
        <f t="shared" si="7"/>
        <v>0</v>
      </c>
      <c r="Y35" s="8"/>
      <c r="Z35" s="9"/>
      <c r="AA35" s="22">
        <f t="shared" si="8"/>
        <v>0</v>
      </c>
      <c r="AB35" s="33">
        <f t="shared" si="9"/>
        <v>0</v>
      </c>
      <c r="AC35" s="29"/>
      <c r="AD35" s="55">
        <f t="shared" si="0"/>
        <v>0</v>
      </c>
    </row>
    <row r="36" spans="1:30" ht="15.75" customHeight="1">
      <c r="A36" s="54">
        <v>32</v>
      </c>
      <c r="B36" s="50" t="s">
        <v>50</v>
      </c>
      <c r="C36" s="7"/>
      <c r="D36" s="8"/>
      <c r="E36" s="9"/>
      <c r="F36" s="22">
        <f t="shared" si="1"/>
        <v>0</v>
      </c>
      <c r="G36" s="8"/>
      <c r="H36" s="9"/>
      <c r="I36" s="22">
        <f t="shared" si="2"/>
        <v>0</v>
      </c>
      <c r="J36" s="8"/>
      <c r="K36" s="9"/>
      <c r="L36" s="22">
        <f t="shared" si="3"/>
        <v>0</v>
      </c>
      <c r="M36" s="8"/>
      <c r="N36" s="9"/>
      <c r="O36" s="22">
        <f t="shared" si="4"/>
        <v>0</v>
      </c>
      <c r="P36" s="8"/>
      <c r="Q36" s="9"/>
      <c r="R36" s="22">
        <f t="shared" si="5"/>
        <v>0</v>
      </c>
      <c r="S36" s="8"/>
      <c r="T36" s="9"/>
      <c r="U36" s="22">
        <f t="shared" si="6"/>
        <v>0</v>
      </c>
      <c r="V36" s="8"/>
      <c r="W36" s="9"/>
      <c r="X36" s="22">
        <f t="shared" si="7"/>
        <v>0</v>
      </c>
      <c r="Y36" s="8"/>
      <c r="Z36" s="9"/>
      <c r="AA36" s="22">
        <f t="shared" si="8"/>
        <v>0</v>
      </c>
      <c r="AB36" s="33">
        <f t="shared" si="9"/>
        <v>0</v>
      </c>
      <c r="AC36" s="29"/>
      <c r="AD36" s="55">
        <f t="shared" si="0"/>
        <v>0</v>
      </c>
    </row>
    <row r="37" spans="1:30" ht="15.75" customHeight="1">
      <c r="A37" s="54">
        <v>33</v>
      </c>
      <c r="B37" s="50" t="s">
        <v>51</v>
      </c>
      <c r="C37" s="7"/>
      <c r="D37" s="8"/>
      <c r="E37" s="9"/>
      <c r="F37" s="22">
        <f t="shared" si="1"/>
        <v>0</v>
      </c>
      <c r="G37" s="8"/>
      <c r="H37" s="9"/>
      <c r="I37" s="22">
        <f t="shared" si="2"/>
        <v>0</v>
      </c>
      <c r="J37" s="8"/>
      <c r="K37" s="9"/>
      <c r="L37" s="22">
        <f t="shared" si="3"/>
        <v>0</v>
      </c>
      <c r="M37" s="8"/>
      <c r="N37" s="9"/>
      <c r="O37" s="22">
        <f t="shared" si="4"/>
        <v>0</v>
      </c>
      <c r="P37" s="8"/>
      <c r="Q37" s="9"/>
      <c r="R37" s="22">
        <f t="shared" si="5"/>
        <v>0</v>
      </c>
      <c r="S37" s="8"/>
      <c r="T37" s="9"/>
      <c r="U37" s="22">
        <f t="shared" si="6"/>
        <v>0</v>
      </c>
      <c r="V37" s="8"/>
      <c r="W37" s="9"/>
      <c r="X37" s="22">
        <f t="shared" si="7"/>
        <v>0</v>
      </c>
      <c r="Y37" s="8"/>
      <c r="Z37" s="9"/>
      <c r="AA37" s="22">
        <f t="shared" si="8"/>
        <v>0</v>
      </c>
      <c r="AB37" s="33">
        <f t="shared" si="9"/>
        <v>0</v>
      </c>
      <c r="AC37" s="29"/>
      <c r="AD37" s="55">
        <f t="shared" si="0"/>
        <v>0</v>
      </c>
    </row>
    <row r="38" spans="1:30" ht="15.75" customHeight="1">
      <c r="A38" s="54">
        <v>34</v>
      </c>
      <c r="B38" s="50" t="s">
        <v>52</v>
      </c>
      <c r="C38" s="7"/>
      <c r="D38" s="8"/>
      <c r="E38" s="9"/>
      <c r="F38" s="22">
        <f t="shared" si="1"/>
        <v>0</v>
      </c>
      <c r="G38" s="8"/>
      <c r="H38" s="9"/>
      <c r="I38" s="22">
        <f t="shared" si="2"/>
        <v>0</v>
      </c>
      <c r="J38" s="8"/>
      <c r="K38" s="9"/>
      <c r="L38" s="22">
        <f t="shared" si="3"/>
        <v>0</v>
      </c>
      <c r="M38" s="8"/>
      <c r="N38" s="9"/>
      <c r="O38" s="22">
        <f t="shared" si="4"/>
        <v>0</v>
      </c>
      <c r="P38" s="8"/>
      <c r="Q38" s="9"/>
      <c r="R38" s="22">
        <f t="shared" si="5"/>
        <v>0</v>
      </c>
      <c r="S38" s="8"/>
      <c r="T38" s="9"/>
      <c r="U38" s="22">
        <f t="shared" si="6"/>
        <v>0</v>
      </c>
      <c r="V38" s="8"/>
      <c r="W38" s="9"/>
      <c r="X38" s="22">
        <f t="shared" si="7"/>
        <v>0</v>
      </c>
      <c r="Y38" s="8"/>
      <c r="Z38" s="9"/>
      <c r="AA38" s="22">
        <f t="shared" si="8"/>
        <v>0</v>
      </c>
      <c r="AB38" s="33">
        <f t="shared" si="9"/>
        <v>0</v>
      </c>
      <c r="AC38" s="29"/>
      <c r="AD38" s="55">
        <f t="shared" si="0"/>
        <v>0</v>
      </c>
    </row>
    <row r="39" spans="1:30" ht="15.75" customHeight="1">
      <c r="A39" s="54">
        <v>35</v>
      </c>
      <c r="B39" s="50" t="s">
        <v>53</v>
      </c>
      <c r="C39" s="7"/>
      <c r="D39" s="8"/>
      <c r="E39" s="9"/>
      <c r="F39" s="22">
        <f t="shared" si="1"/>
        <v>0</v>
      </c>
      <c r="G39" s="8"/>
      <c r="H39" s="9"/>
      <c r="I39" s="22">
        <f t="shared" si="2"/>
        <v>0</v>
      </c>
      <c r="J39" s="8"/>
      <c r="K39" s="9"/>
      <c r="L39" s="22">
        <f t="shared" si="3"/>
        <v>0</v>
      </c>
      <c r="M39" s="8"/>
      <c r="N39" s="9"/>
      <c r="O39" s="22">
        <f t="shared" si="4"/>
        <v>0</v>
      </c>
      <c r="P39" s="8"/>
      <c r="Q39" s="9"/>
      <c r="R39" s="22">
        <f t="shared" si="5"/>
        <v>0</v>
      </c>
      <c r="S39" s="8"/>
      <c r="T39" s="9"/>
      <c r="U39" s="22">
        <f t="shared" si="6"/>
        <v>0</v>
      </c>
      <c r="V39" s="8"/>
      <c r="W39" s="9"/>
      <c r="X39" s="22">
        <f t="shared" si="7"/>
        <v>0</v>
      </c>
      <c r="Y39" s="8"/>
      <c r="Z39" s="9"/>
      <c r="AA39" s="22">
        <f t="shared" si="8"/>
        <v>0</v>
      </c>
      <c r="AB39" s="33">
        <f t="shared" si="9"/>
        <v>0</v>
      </c>
      <c r="AC39" s="29"/>
      <c r="AD39" s="55">
        <f t="shared" si="0"/>
        <v>0</v>
      </c>
    </row>
    <row r="40" spans="1:30" ht="15.75" customHeight="1">
      <c r="A40" s="54">
        <v>36</v>
      </c>
      <c r="B40" s="50" t="s">
        <v>54</v>
      </c>
      <c r="C40" s="7"/>
      <c r="D40" s="8"/>
      <c r="E40" s="9"/>
      <c r="F40" s="22">
        <f t="shared" si="1"/>
        <v>0</v>
      </c>
      <c r="G40" s="8"/>
      <c r="H40" s="9"/>
      <c r="I40" s="22">
        <f t="shared" si="2"/>
        <v>0</v>
      </c>
      <c r="J40" s="8"/>
      <c r="K40" s="9"/>
      <c r="L40" s="22">
        <f t="shared" si="3"/>
        <v>0</v>
      </c>
      <c r="M40" s="8"/>
      <c r="N40" s="9"/>
      <c r="O40" s="22">
        <f t="shared" si="4"/>
        <v>0</v>
      </c>
      <c r="P40" s="8"/>
      <c r="Q40" s="9"/>
      <c r="R40" s="22">
        <f t="shared" si="5"/>
        <v>0</v>
      </c>
      <c r="S40" s="8"/>
      <c r="T40" s="9"/>
      <c r="U40" s="22">
        <f t="shared" si="6"/>
        <v>0</v>
      </c>
      <c r="V40" s="8"/>
      <c r="W40" s="9"/>
      <c r="X40" s="22">
        <f t="shared" si="7"/>
        <v>0</v>
      </c>
      <c r="Y40" s="8"/>
      <c r="Z40" s="9"/>
      <c r="AA40" s="22">
        <f t="shared" si="8"/>
        <v>0</v>
      </c>
      <c r="AB40" s="33">
        <f t="shared" si="9"/>
        <v>0</v>
      </c>
      <c r="AC40" s="29"/>
      <c r="AD40" s="55">
        <f t="shared" si="0"/>
        <v>0</v>
      </c>
    </row>
    <row r="41" spans="1:30" ht="15.75" customHeight="1">
      <c r="A41" s="54">
        <v>37</v>
      </c>
      <c r="B41" s="50" t="s">
        <v>55</v>
      </c>
      <c r="C41" s="7"/>
      <c r="D41" s="8"/>
      <c r="E41" s="9"/>
      <c r="F41" s="22">
        <f t="shared" si="1"/>
        <v>0</v>
      </c>
      <c r="G41" s="8"/>
      <c r="H41" s="9"/>
      <c r="I41" s="22">
        <f t="shared" si="2"/>
        <v>0</v>
      </c>
      <c r="J41" s="8"/>
      <c r="K41" s="9"/>
      <c r="L41" s="22">
        <f t="shared" si="3"/>
        <v>0</v>
      </c>
      <c r="M41" s="8"/>
      <c r="N41" s="9"/>
      <c r="O41" s="22">
        <f t="shared" si="4"/>
        <v>0</v>
      </c>
      <c r="P41" s="8"/>
      <c r="Q41" s="9"/>
      <c r="R41" s="22">
        <f t="shared" si="5"/>
        <v>0</v>
      </c>
      <c r="S41" s="8"/>
      <c r="T41" s="9"/>
      <c r="U41" s="22">
        <f t="shared" si="6"/>
        <v>0</v>
      </c>
      <c r="V41" s="8"/>
      <c r="W41" s="9"/>
      <c r="X41" s="22">
        <f t="shared" si="7"/>
        <v>0</v>
      </c>
      <c r="Y41" s="8"/>
      <c r="Z41" s="9"/>
      <c r="AA41" s="22">
        <f t="shared" si="8"/>
        <v>0</v>
      </c>
      <c r="AB41" s="33">
        <f t="shared" si="9"/>
        <v>0</v>
      </c>
      <c r="AC41" s="29"/>
      <c r="AD41" s="55">
        <f t="shared" si="0"/>
        <v>0</v>
      </c>
    </row>
    <row r="42" spans="1:30" ht="15.75" customHeight="1">
      <c r="A42" s="54">
        <v>38</v>
      </c>
      <c r="B42" s="50" t="s">
        <v>56</v>
      </c>
      <c r="C42" s="7"/>
      <c r="D42" s="8"/>
      <c r="E42" s="9"/>
      <c r="F42" s="22">
        <f t="shared" si="1"/>
        <v>0</v>
      </c>
      <c r="G42" s="8"/>
      <c r="H42" s="9"/>
      <c r="I42" s="22">
        <f t="shared" si="2"/>
        <v>0</v>
      </c>
      <c r="J42" s="8"/>
      <c r="K42" s="9"/>
      <c r="L42" s="22">
        <f t="shared" si="3"/>
        <v>0</v>
      </c>
      <c r="M42" s="8"/>
      <c r="N42" s="9"/>
      <c r="O42" s="22">
        <f t="shared" si="4"/>
        <v>0</v>
      </c>
      <c r="P42" s="8"/>
      <c r="Q42" s="9"/>
      <c r="R42" s="22">
        <f t="shared" si="5"/>
        <v>0</v>
      </c>
      <c r="S42" s="8"/>
      <c r="T42" s="9"/>
      <c r="U42" s="22">
        <f t="shared" si="6"/>
        <v>0</v>
      </c>
      <c r="V42" s="8"/>
      <c r="W42" s="9"/>
      <c r="X42" s="22">
        <f t="shared" si="7"/>
        <v>0</v>
      </c>
      <c r="Y42" s="8"/>
      <c r="Z42" s="9"/>
      <c r="AA42" s="22">
        <f t="shared" si="8"/>
        <v>0</v>
      </c>
      <c r="AB42" s="33">
        <f t="shared" si="9"/>
        <v>0</v>
      </c>
      <c r="AC42" s="29"/>
      <c r="AD42" s="55">
        <f t="shared" si="0"/>
        <v>0</v>
      </c>
    </row>
    <row r="43" spans="1:30" ht="15.75" customHeight="1">
      <c r="A43" s="54">
        <v>39</v>
      </c>
      <c r="B43" s="50" t="s">
        <v>57</v>
      </c>
      <c r="C43" s="7"/>
      <c r="D43" s="8"/>
      <c r="E43" s="9"/>
      <c r="F43" s="22">
        <f t="shared" si="1"/>
        <v>0</v>
      </c>
      <c r="G43" s="8"/>
      <c r="H43" s="9"/>
      <c r="I43" s="22">
        <f t="shared" si="2"/>
        <v>0</v>
      </c>
      <c r="J43" s="8"/>
      <c r="K43" s="9"/>
      <c r="L43" s="22">
        <f t="shared" si="3"/>
        <v>0</v>
      </c>
      <c r="M43" s="8"/>
      <c r="N43" s="9"/>
      <c r="O43" s="22">
        <f t="shared" si="4"/>
        <v>0</v>
      </c>
      <c r="P43" s="8"/>
      <c r="Q43" s="9"/>
      <c r="R43" s="22">
        <f t="shared" si="5"/>
        <v>0</v>
      </c>
      <c r="S43" s="8"/>
      <c r="T43" s="9"/>
      <c r="U43" s="22">
        <f t="shared" si="6"/>
        <v>0</v>
      </c>
      <c r="V43" s="8"/>
      <c r="W43" s="9"/>
      <c r="X43" s="22">
        <f t="shared" si="7"/>
        <v>0</v>
      </c>
      <c r="Y43" s="8"/>
      <c r="Z43" s="9"/>
      <c r="AA43" s="22">
        <f t="shared" si="8"/>
        <v>0</v>
      </c>
      <c r="AB43" s="33">
        <f t="shared" si="9"/>
        <v>0</v>
      </c>
      <c r="AC43" s="29"/>
      <c r="AD43" s="55">
        <f t="shared" si="0"/>
        <v>0</v>
      </c>
    </row>
    <row r="44" spans="1:30" ht="15.75" customHeight="1">
      <c r="A44" s="54">
        <v>40</v>
      </c>
      <c r="B44" s="50" t="s">
        <v>58</v>
      </c>
      <c r="C44" s="7"/>
      <c r="D44" s="8"/>
      <c r="E44" s="9"/>
      <c r="F44" s="22">
        <f t="shared" si="1"/>
        <v>0</v>
      </c>
      <c r="G44" s="8"/>
      <c r="H44" s="9"/>
      <c r="I44" s="22">
        <f t="shared" si="2"/>
        <v>0</v>
      </c>
      <c r="J44" s="8"/>
      <c r="K44" s="9"/>
      <c r="L44" s="22">
        <f t="shared" si="3"/>
        <v>0</v>
      </c>
      <c r="M44" s="8"/>
      <c r="N44" s="9"/>
      <c r="O44" s="22">
        <f t="shared" si="4"/>
        <v>0</v>
      </c>
      <c r="P44" s="8"/>
      <c r="Q44" s="9"/>
      <c r="R44" s="22">
        <f t="shared" si="5"/>
        <v>0</v>
      </c>
      <c r="S44" s="8"/>
      <c r="T44" s="9"/>
      <c r="U44" s="22">
        <f t="shared" si="6"/>
        <v>0</v>
      </c>
      <c r="V44" s="8"/>
      <c r="W44" s="9"/>
      <c r="X44" s="22">
        <f t="shared" si="7"/>
        <v>0</v>
      </c>
      <c r="Y44" s="8"/>
      <c r="Z44" s="9"/>
      <c r="AA44" s="22">
        <f t="shared" si="8"/>
        <v>0</v>
      </c>
      <c r="AB44" s="33">
        <f t="shared" si="9"/>
        <v>0</v>
      </c>
      <c r="AC44" s="29"/>
      <c r="AD44" s="55">
        <f t="shared" si="0"/>
        <v>0</v>
      </c>
    </row>
    <row r="45" spans="1:30" ht="15.75" customHeight="1">
      <c r="A45" s="54">
        <v>41</v>
      </c>
      <c r="B45" s="50" t="s">
        <v>59</v>
      </c>
      <c r="C45" s="7"/>
      <c r="D45" s="8"/>
      <c r="E45" s="9"/>
      <c r="F45" s="22">
        <f t="shared" si="1"/>
        <v>0</v>
      </c>
      <c r="G45" s="8"/>
      <c r="H45" s="9"/>
      <c r="I45" s="22">
        <f t="shared" si="2"/>
        <v>0</v>
      </c>
      <c r="J45" s="8"/>
      <c r="K45" s="9"/>
      <c r="L45" s="22">
        <f t="shared" si="3"/>
        <v>0</v>
      </c>
      <c r="M45" s="8"/>
      <c r="N45" s="9"/>
      <c r="O45" s="22">
        <f t="shared" si="4"/>
        <v>0</v>
      </c>
      <c r="P45" s="8"/>
      <c r="Q45" s="9"/>
      <c r="R45" s="22">
        <f t="shared" si="5"/>
        <v>0</v>
      </c>
      <c r="S45" s="8"/>
      <c r="T45" s="9"/>
      <c r="U45" s="22">
        <f t="shared" si="6"/>
        <v>0</v>
      </c>
      <c r="V45" s="8"/>
      <c r="W45" s="9"/>
      <c r="X45" s="22">
        <f t="shared" si="7"/>
        <v>0</v>
      </c>
      <c r="Y45" s="8"/>
      <c r="Z45" s="9"/>
      <c r="AA45" s="22">
        <f t="shared" si="8"/>
        <v>0</v>
      </c>
      <c r="AB45" s="33">
        <f t="shared" si="9"/>
        <v>0</v>
      </c>
      <c r="AC45" s="29"/>
      <c r="AD45" s="55">
        <f t="shared" si="0"/>
        <v>0</v>
      </c>
    </row>
    <row r="46" spans="1:30" ht="15.75" customHeight="1">
      <c r="A46" s="54">
        <v>42</v>
      </c>
      <c r="B46" s="50" t="s">
        <v>60</v>
      </c>
      <c r="C46" s="7"/>
      <c r="D46" s="8"/>
      <c r="E46" s="9"/>
      <c r="F46" s="22">
        <f t="shared" si="1"/>
        <v>0</v>
      </c>
      <c r="G46" s="8"/>
      <c r="H46" s="9"/>
      <c r="I46" s="22">
        <f t="shared" si="2"/>
        <v>0</v>
      </c>
      <c r="J46" s="8"/>
      <c r="K46" s="9"/>
      <c r="L46" s="22">
        <f t="shared" si="3"/>
        <v>0</v>
      </c>
      <c r="M46" s="8"/>
      <c r="N46" s="9"/>
      <c r="O46" s="22">
        <f t="shared" si="4"/>
        <v>0</v>
      </c>
      <c r="P46" s="8"/>
      <c r="Q46" s="9"/>
      <c r="R46" s="22">
        <f t="shared" si="5"/>
        <v>0</v>
      </c>
      <c r="S46" s="8"/>
      <c r="T46" s="9"/>
      <c r="U46" s="22">
        <f t="shared" si="6"/>
        <v>0</v>
      </c>
      <c r="V46" s="8"/>
      <c r="W46" s="9"/>
      <c r="X46" s="22">
        <f t="shared" si="7"/>
        <v>0</v>
      </c>
      <c r="Y46" s="8"/>
      <c r="Z46" s="9"/>
      <c r="AA46" s="22">
        <f t="shared" si="8"/>
        <v>0</v>
      </c>
      <c r="AB46" s="33">
        <f t="shared" si="9"/>
        <v>0</v>
      </c>
      <c r="AC46" s="29"/>
      <c r="AD46" s="55">
        <f t="shared" si="0"/>
        <v>0</v>
      </c>
    </row>
    <row r="47" spans="1:30" ht="15.75" customHeight="1">
      <c r="A47" s="54">
        <v>43</v>
      </c>
      <c r="B47" s="50" t="s">
        <v>61</v>
      </c>
      <c r="C47" s="7"/>
      <c r="D47" s="8"/>
      <c r="E47" s="9"/>
      <c r="F47" s="22">
        <f t="shared" si="1"/>
        <v>0</v>
      </c>
      <c r="G47" s="8"/>
      <c r="H47" s="9"/>
      <c r="I47" s="22">
        <f t="shared" si="2"/>
        <v>0</v>
      </c>
      <c r="J47" s="8"/>
      <c r="K47" s="9"/>
      <c r="L47" s="22">
        <f t="shared" si="3"/>
        <v>0</v>
      </c>
      <c r="M47" s="8"/>
      <c r="N47" s="9"/>
      <c r="O47" s="22">
        <f t="shared" si="4"/>
        <v>0</v>
      </c>
      <c r="P47" s="8"/>
      <c r="Q47" s="9"/>
      <c r="R47" s="22">
        <f t="shared" si="5"/>
        <v>0</v>
      </c>
      <c r="S47" s="8"/>
      <c r="T47" s="9"/>
      <c r="U47" s="22">
        <f t="shared" si="6"/>
        <v>0</v>
      </c>
      <c r="V47" s="8"/>
      <c r="W47" s="9"/>
      <c r="X47" s="22">
        <f t="shared" si="7"/>
        <v>0</v>
      </c>
      <c r="Y47" s="8"/>
      <c r="Z47" s="9"/>
      <c r="AA47" s="22">
        <f t="shared" si="8"/>
        <v>0</v>
      </c>
      <c r="AB47" s="33">
        <f t="shared" si="9"/>
        <v>0</v>
      </c>
      <c r="AC47" s="29"/>
      <c r="AD47" s="55">
        <f t="shared" si="0"/>
        <v>0</v>
      </c>
    </row>
    <row r="48" spans="1:30" ht="15.75" customHeight="1">
      <c r="A48" s="54">
        <v>44</v>
      </c>
      <c r="B48" s="50" t="s">
        <v>62</v>
      </c>
      <c r="C48" s="7"/>
      <c r="D48" s="8"/>
      <c r="E48" s="9"/>
      <c r="F48" s="22">
        <f t="shared" si="1"/>
        <v>0</v>
      </c>
      <c r="G48" s="8"/>
      <c r="H48" s="9"/>
      <c r="I48" s="22">
        <f t="shared" si="2"/>
        <v>0</v>
      </c>
      <c r="J48" s="8"/>
      <c r="K48" s="9"/>
      <c r="L48" s="22">
        <f t="shared" si="3"/>
        <v>0</v>
      </c>
      <c r="M48" s="8"/>
      <c r="N48" s="9"/>
      <c r="O48" s="22">
        <f t="shared" si="4"/>
        <v>0</v>
      </c>
      <c r="P48" s="8"/>
      <c r="Q48" s="9"/>
      <c r="R48" s="22">
        <f t="shared" si="5"/>
        <v>0</v>
      </c>
      <c r="S48" s="8"/>
      <c r="T48" s="9"/>
      <c r="U48" s="22">
        <f t="shared" si="6"/>
        <v>0</v>
      </c>
      <c r="V48" s="8"/>
      <c r="W48" s="9"/>
      <c r="X48" s="22">
        <f t="shared" si="7"/>
        <v>0</v>
      </c>
      <c r="Y48" s="8"/>
      <c r="Z48" s="9"/>
      <c r="AA48" s="22">
        <f t="shared" si="8"/>
        <v>0</v>
      </c>
      <c r="AB48" s="33">
        <f t="shared" si="9"/>
        <v>0</v>
      </c>
      <c r="AC48" s="29"/>
      <c r="AD48" s="55">
        <f t="shared" si="0"/>
        <v>0</v>
      </c>
    </row>
    <row r="49" spans="1:30" ht="15.75" customHeight="1">
      <c r="A49" s="54">
        <v>45</v>
      </c>
      <c r="B49" s="50" t="s">
        <v>63</v>
      </c>
      <c r="C49" s="7"/>
      <c r="D49" s="8"/>
      <c r="E49" s="9"/>
      <c r="F49" s="22">
        <f t="shared" si="1"/>
        <v>0</v>
      </c>
      <c r="G49" s="8"/>
      <c r="H49" s="9"/>
      <c r="I49" s="22">
        <f t="shared" si="2"/>
        <v>0</v>
      </c>
      <c r="J49" s="8"/>
      <c r="K49" s="9"/>
      <c r="L49" s="22">
        <f t="shared" si="3"/>
        <v>0</v>
      </c>
      <c r="M49" s="8"/>
      <c r="N49" s="9"/>
      <c r="O49" s="22">
        <f t="shared" si="4"/>
        <v>0</v>
      </c>
      <c r="P49" s="8"/>
      <c r="Q49" s="9"/>
      <c r="R49" s="22">
        <f t="shared" si="5"/>
        <v>0</v>
      </c>
      <c r="S49" s="8"/>
      <c r="T49" s="9"/>
      <c r="U49" s="22">
        <f t="shared" si="6"/>
        <v>0</v>
      </c>
      <c r="V49" s="8"/>
      <c r="W49" s="9"/>
      <c r="X49" s="22">
        <f t="shared" si="7"/>
        <v>0</v>
      </c>
      <c r="Y49" s="8"/>
      <c r="Z49" s="9"/>
      <c r="AA49" s="22">
        <f t="shared" si="8"/>
        <v>0</v>
      </c>
      <c r="AB49" s="33">
        <f t="shared" si="9"/>
        <v>0</v>
      </c>
      <c r="AC49" s="29"/>
      <c r="AD49" s="55">
        <f t="shared" si="0"/>
        <v>0</v>
      </c>
    </row>
    <row r="50" spans="1:30" ht="15.75" customHeight="1">
      <c r="A50" s="54">
        <v>46</v>
      </c>
      <c r="B50" s="50" t="s">
        <v>64</v>
      </c>
      <c r="C50" s="7"/>
      <c r="D50" s="8"/>
      <c r="E50" s="9"/>
      <c r="F50" s="22">
        <f t="shared" si="1"/>
        <v>0</v>
      </c>
      <c r="G50" s="8"/>
      <c r="H50" s="9"/>
      <c r="I50" s="22">
        <f t="shared" si="2"/>
        <v>0</v>
      </c>
      <c r="J50" s="8"/>
      <c r="K50" s="9"/>
      <c r="L50" s="22">
        <f t="shared" si="3"/>
        <v>0</v>
      </c>
      <c r="M50" s="8"/>
      <c r="N50" s="9"/>
      <c r="O50" s="22">
        <f t="shared" si="4"/>
        <v>0</v>
      </c>
      <c r="P50" s="8"/>
      <c r="Q50" s="9"/>
      <c r="R50" s="22">
        <f t="shared" si="5"/>
        <v>0</v>
      </c>
      <c r="S50" s="8"/>
      <c r="T50" s="9"/>
      <c r="U50" s="22">
        <f t="shared" si="6"/>
        <v>0</v>
      </c>
      <c r="V50" s="8"/>
      <c r="W50" s="9"/>
      <c r="X50" s="22">
        <f t="shared" si="7"/>
        <v>0</v>
      </c>
      <c r="Y50" s="8"/>
      <c r="Z50" s="9"/>
      <c r="AA50" s="22">
        <f t="shared" si="8"/>
        <v>0</v>
      </c>
      <c r="AB50" s="33">
        <f t="shared" si="9"/>
        <v>0</v>
      </c>
      <c r="AC50" s="29"/>
      <c r="AD50" s="55">
        <f t="shared" si="0"/>
        <v>0</v>
      </c>
    </row>
    <row r="51" spans="1:30" ht="15.75" customHeight="1" thickBot="1">
      <c r="A51" s="56">
        <v>47</v>
      </c>
      <c r="B51" s="51" t="s">
        <v>65</v>
      </c>
      <c r="C51" s="60"/>
      <c r="D51" s="15"/>
      <c r="E51" s="16"/>
      <c r="F51" s="23">
        <f t="shared" si="1"/>
        <v>0</v>
      </c>
      <c r="G51" s="15"/>
      <c r="H51" s="16"/>
      <c r="I51" s="23">
        <f t="shared" si="2"/>
        <v>0</v>
      </c>
      <c r="J51" s="15"/>
      <c r="K51" s="16"/>
      <c r="L51" s="23">
        <f t="shared" si="3"/>
        <v>0</v>
      </c>
      <c r="M51" s="15"/>
      <c r="N51" s="16"/>
      <c r="O51" s="23">
        <f t="shared" si="4"/>
        <v>0</v>
      </c>
      <c r="P51" s="15"/>
      <c r="Q51" s="16"/>
      <c r="R51" s="23">
        <f t="shared" si="5"/>
        <v>0</v>
      </c>
      <c r="S51" s="15"/>
      <c r="T51" s="16"/>
      <c r="U51" s="23">
        <f t="shared" si="6"/>
        <v>0</v>
      </c>
      <c r="V51" s="15"/>
      <c r="W51" s="16"/>
      <c r="X51" s="23">
        <f t="shared" si="7"/>
        <v>0</v>
      </c>
      <c r="Y51" s="15"/>
      <c r="Z51" s="16"/>
      <c r="AA51" s="23">
        <f t="shared" si="8"/>
        <v>0</v>
      </c>
      <c r="AB51" s="33">
        <f t="shared" si="9"/>
        <v>0</v>
      </c>
      <c r="AC51" s="30"/>
      <c r="AD51" s="57">
        <f t="shared" si="0"/>
        <v>0</v>
      </c>
    </row>
    <row r="52" spans="1:30" ht="15.75" customHeight="1" thickBot="1">
      <c r="A52" s="105" t="s">
        <v>42</v>
      </c>
      <c r="B52" s="106"/>
      <c r="C52" s="61">
        <f>SUM(C5:C51)</f>
        <v>0</v>
      </c>
      <c r="D52" s="17">
        <f t="shared" ref="D52:AD52" si="13">SUM(D5:D51)</f>
        <v>0</v>
      </c>
      <c r="E52" s="18">
        <f t="shared" si="13"/>
        <v>0</v>
      </c>
      <c r="F52" s="24">
        <f t="shared" si="13"/>
        <v>0</v>
      </c>
      <c r="G52" s="19">
        <f t="shared" ref="G52:L52" si="14">SUM(G5:G51)</f>
        <v>0</v>
      </c>
      <c r="H52" s="20">
        <f t="shared" si="14"/>
        <v>0</v>
      </c>
      <c r="I52" s="25">
        <f t="shared" si="14"/>
        <v>0</v>
      </c>
      <c r="J52" s="19">
        <f t="shared" si="14"/>
        <v>0</v>
      </c>
      <c r="K52" s="21">
        <f t="shared" si="14"/>
        <v>0</v>
      </c>
      <c r="L52" s="24">
        <f t="shared" si="14"/>
        <v>0</v>
      </c>
      <c r="M52" s="17">
        <f t="shared" ref="M52:X52" si="15">SUM(M5:M51)</f>
        <v>0</v>
      </c>
      <c r="N52" s="18">
        <f t="shared" si="15"/>
        <v>0</v>
      </c>
      <c r="O52" s="24">
        <f t="shared" si="15"/>
        <v>0</v>
      </c>
      <c r="P52" s="19">
        <f t="shared" si="15"/>
        <v>0</v>
      </c>
      <c r="Q52" s="20">
        <f t="shared" si="15"/>
        <v>0</v>
      </c>
      <c r="R52" s="25">
        <f t="shared" si="15"/>
        <v>0</v>
      </c>
      <c r="S52" s="19">
        <f t="shared" si="15"/>
        <v>0</v>
      </c>
      <c r="T52" s="21">
        <f t="shared" si="15"/>
        <v>0</v>
      </c>
      <c r="U52" s="24">
        <f t="shared" si="15"/>
        <v>0</v>
      </c>
      <c r="V52" s="19">
        <f t="shared" si="15"/>
        <v>0</v>
      </c>
      <c r="W52" s="20">
        <f t="shared" si="15"/>
        <v>0</v>
      </c>
      <c r="X52" s="25">
        <f t="shared" si="15"/>
        <v>0</v>
      </c>
      <c r="Y52" s="19">
        <f t="shared" ref="Y52:AA52" si="16">SUM(Y5:Y51)</f>
        <v>0</v>
      </c>
      <c r="Z52" s="21">
        <f t="shared" si="16"/>
        <v>0</v>
      </c>
      <c r="AA52" s="28">
        <f t="shared" si="16"/>
        <v>0</v>
      </c>
      <c r="AB52" s="34">
        <f t="shared" ref="AB52" si="17">SUM(AB5:AB51)</f>
        <v>0</v>
      </c>
      <c r="AC52" s="31">
        <f>SUM(AC5:AC51)</f>
        <v>0</v>
      </c>
      <c r="AD52" s="26">
        <f t="shared" si="13"/>
        <v>0</v>
      </c>
    </row>
    <row r="54" spans="1:30">
      <c r="E54" s="10"/>
      <c r="F54" s="10"/>
      <c r="G54" s="10"/>
      <c r="H54" s="10"/>
      <c r="I54" s="10"/>
      <c r="J54" s="10"/>
      <c r="K54" s="10"/>
      <c r="L54" s="10"/>
      <c r="M54" s="10"/>
      <c r="N54" s="10"/>
      <c r="O54" s="10"/>
      <c r="P54" s="10"/>
      <c r="Q54" s="10"/>
      <c r="R54" s="10"/>
      <c r="S54" s="10"/>
      <c r="T54" s="10"/>
      <c r="U54" s="10"/>
      <c r="V54" s="10"/>
      <c r="W54" s="10"/>
      <c r="X54" s="10"/>
      <c r="Y54" s="10"/>
      <c r="Z54" s="10"/>
      <c r="AA54" s="10"/>
    </row>
    <row r="55" spans="1:30">
      <c r="E55" s="10"/>
      <c r="F55" s="10"/>
      <c r="G55" s="10"/>
      <c r="H55" s="10"/>
      <c r="I55" s="10"/>
      <c r="J55" s="10"/>
      <c r="K55" s="10"/>
      <c r="L55" s="10"/>
      <c r="M55" s="10"/>
      <c r="N55" s="10"/>
      <c r="O55" s="10"/>
      <c r="P55" s="10"/>
      <c r="Q55" s="10"/>
      <c r="R55" s="10"/>
      <c r="S55" s="10"/>
      <c r="T55" s="10"/>
      <c r="U55" s="10"/>
      <c r="V55" s="10"/>
      <c r="W55" s="10"/>
      <c r="X55" s="10"/>
      <c r="Y55" s="10"/>
      <c r="Z55" s="10"/>
      <c r="AA55" s="10"/>
    </row>
    <row r="56" spans="1:30">
      <c r="E56" s="10"/>
      <c r="F56" s="10"/>
      <c r="G56" s="10"/>
      <c r="H56" s="10"/>
      <c r="I56" s="10"/>
      <c r="J56" s="10"/>
      <c r="K56" s="10"/>
      <c r="L56" s="10"/>
      <c r="M56" s="10"/>
      <c r="N56" s="10"/>
      <c r="O56" s="10"/>
      <c r="P56" s="10"/>
      <c r="Q56" s="10"/>
      <c r="R56" s="10"/>
      <c r="S56" s="10"/>
      <c r="T56" s="10"/>
      <c r="U56" s="10"/>
      <c r="V56" s="10"/>
      <c r="W56" s="10"/>
      <c r="X56" s="10"/>
      <c r="Y56" s="10"/>
      <c r="Z56" s="10"/>
      <c r="AA56" s="10"/>
    </row>
    <row r="57" spans="1:30">
      <c r="E57" s="10"/>
      <c r="F57" s="10"/>
      <c r="G57" s="10"/>
      <c r="H57" s="10"/>
      <c r="I57" s="10"/>
      <c r="J57" s="10"/>
      <c r="K57" s="10"/>
      <c r="L57" s="10"/>
      <c r="M57" s="10"/>
      <c r="N57" s="10"/>
      <c r="O57" s="10"/>
      <c r="P57" s="10"/>
      <c r="Q57" s="10"/>
      <c r="R57" s="10"/>
      <c r="S57" s="10"/>
      <c r="T57" s="10"/>
      <c r="U57" s="10"/>
      <c r="V57" s="10"/>
      <c r="W57" s="10"/>
      <c r="X57" s="10"/>
      <c r="Y57" s="10"/>
      <c r="Z57" s="10"/>
      <c r="AA57" s="10"/>
    </row>
    <row r="58" spans="1:30">
      <c r="E58" s="10"/>
      <c r="F58" s="10"/>
      <c r="G58" s="10"/>
      <c r="H58" s="10"/>
      <c r="I58" s="10"/>
      <c r="J58" s="10"/>
      <c r="K58" s="10"/>
      <c r="L58" s="10"/>
      <c r="M58" s="10"/>
      <c r="N58" s="10"/>
      <c r="O58" s="10"/>
      <c r="P58" s="10"/>
      <c r="Q58" s="10"/>
      <c r="R58" s="10"/>
      <c r="S58" s="10"/>
      <c r="T58" s="10"/>
      <c r="U58" s="10"/>
      <c r="V58" s="10"/>
      <c r="W58" s="10"/>
      <c r="X58" s="10"/>
      <c r="Y58" s="10"/>
      <c r="Z58" s="10"/>
      <c r="AA58" s="10"/>
    </row>
  </sheetData>
  <mergeCells count="15">
    <mergeCell ref="AH3:AH4"/>
    <mergeCell ref="A52:B52"/>
    <mergeCell ref="AC3:AC4"/>
    <mergeCell ref="AD3:AD4"/>
    <mergeCell ref="AF5:AG5"/>
    <mergeCell ref="AF3:AG4"/>
    <mergeCell ref="AF13:AF30"/>
    <mergeCell ref="AF6:AG6"/>
    <mergeCell ref="AF7:AG7"/>
    <mergeCell ref="AF8:AG8"/>
    <mergeCell ref="AF9:AG9"/>
    <mergeCell ref="AF10:AG10"/>
    <mergeCell ref="AF11:AG11"/>
    <mergeCell ref="AF12:AG12"/>
    <mergeCell ref="AF31:AG31"/>
  </mergeCells>
  <phoneticPr fontId="2"/>
  <pageMargins left="0.25" right="0.25" top="0.75" bottom="0.75" header="0.3" footer="0.3"/>
  <pageSetup paperSize="8" scale="53"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C4A34-8A17-4C74-AC9F-A26080A2D0B4}">
  <sheetPr codeName="Sheet2">
    <tabColor rgb="FFFFC000"/>
    <pageSetUpPr fitToPage="1"/>
  </sheetPr>
  <dimension ref="A1:U36"/>
  <sheetViews>
    <sheetView topLeftCell="J2" zoomScale="115" zoomScaleNormal="115" workbookViewId="0">
      <selection activeCell="U4" sqref="U4:U6"/>
    </sheetView>
  </sheetViews>
  <sheetFormatPr defaultColWidth="9" defaultRowHeight="18"/>
  <cols>
    <col min="1" max="1" width="5.75" customWidth="1"/>
    <col min="2" max="21" width="10.75" customWidth="1"/>
  </cols>
  <sheetData>
    <row r="1" spans="1:21" s="80" customFormat="1">
      <c r="A1" s="84" t="s">
        <v>78</v>
      </c>
      <c r="B1" s="84"/>
      <c r="C1" s="79"/>
    </row>
    <row r="2" spans="1:21" s="80" customFormat="1">
      <c r="A2" s="79"/>
      <c r="B2" s="79"/>
      <c r="C2" s="79"/>
    </row>
    <row r="3" spans="1:21" s="80" customFormat="1" ht="18.5" thickBot="1">
      <c r="A3" s="80" t="s">
        <v>69</v>
      </c>
      <c r="C3" s="81"/>
      <c r="D3" s="80" t="s">
        <v>70</v>
      </c>
      <c r="E3" s="82"/>
      <c r="U3" s="83" t="s">
        <v>98</v>
      </c>
    </row>
    <row r="4" spans="1:21" s="80" customFormat="1" ht="18.75" customHeight="1">
      <c r="A4" s="129" t="s">
        <v>87</v>
      </c>
      <c r="B4" s="132" t="s">
        <v>86</v>
      </c>
      <c r="C4" s="132" t="s">
        <v>75</v>
      </c>
      <c r="D4" s="135" t="s">
        <v>72</v>
      </c>
      <c r="E4" s="135" t="s">
        <v>144</v>
      </c>
      <c r="F4" s="123" t="s">
        <v>76</v>
      </c>
      <c r="G4" s="124"/>
      <c r="H4" s="125"/>
      <c r="I4" s="123" t="s">
        <v>76</v>
      </c>
      <c r="J4" s="124"/>
      <c r="K4" s="125"/>
      <c r="L4" s="123" t="s">
        <v>77</v>
      </c>
      <c r="M4" s="124"/>
      <c r="N4" s="124"/>
      <c r="O4" s="124"/>
      <c r="P4" s="124"/>
      <c r="Q4" s="124"/>
      <c r="R4" s="124"/>
      <c r="S4" s="124"/>
      <c r="T4" s="124"/>
      <c r="U4" s="126" t="s">
        <v>85</v>
      </c>
    </row>
    <row r="5" spans="1:21" s="80" customFormat="1" ht="89.25" customHeight="1" thickBot="1">
      <c r="A5" s="130"/>
      <c r="B5" s="133"/>
      <c r="C5" s="133"/>
      <c r="D5" s="133"/>
      <c r="E5" s="133"/>
      <c r="F5" s="90" t="s">
        <v>99</v>
      </c>
      <c r="G5" s="90" t="s">
        <v>100</v>
      </c>
      <c r="H5" s="91" t="s">
        <v>101</v>
      </c>
      <c r="I5" s="90" t="s">
        <v>141</v>
      </c>
      <c r="J5" s="90" t="s">
        <v>142</v>
      </c>
      <c r="K5" s="91" t="s">
        <v>143</v>
      </c>
      <c r="L5" s="92" t="s">
        <v>102</v>
      </c>
      <c r="M5" s="92" t="s">
        <v>103</v>
      </c>
      <c r="N5" s="92" t="s">
        <v>104</v>
      </c>
      <c r="O5" s="92" t="s">
        <v>105</v>
      </c>
      <c r="P5" s="92" t="s">
        <v>106</v>
      </c>
      <c r="Q5" s="92" t="s">
        <v>107</v>
      </c>
      <c r="R5" s="92" t="s">
        <v>108</v>
      </c>
      <c r="S5" s="92" t="s">
        <v>109</v>
      </c>
      <c r="T5" s="95" t="s">
        <v>110</v>
      </c>
      <c r="U5" s="127"/>
    </row>
    <row r="6" spans="1:21" s="80" customFormat="1" ht="18.5" thickBot="1">
      <c r="A6" s="131"/>
      <c r="B6" s="134"/>
      <c r="C6" s="134"/>
      <c r="D6" s="136"/>
      <c r="E6" s="137"/>
      <c r="F6" s="85">
        <f>SUM(F7:F1243)</f>
        <v>16650000</v>
      </c>
      <c r="G6" s="86">
        <f t="shared" ref="G6:T6" si="0">SUM(G7:G1243)</f>
        <v>16650000</v>
      </c>
      <c r="H6" s="86">
        <f t="shared" si="0"/>
        <v>0</v>
      </c>
      <c r="I6" s="85">
        <f>SUM(I7:I1243)</f>
        <v>1500000</v>
      </c>
      <c r="J6" s="86">
        <f>SUM(J7:J1243)</f>
        <v>900000</v>
      </c>
      <c r="K6" s="86">
        <f>SUM(K7:K1243)</f>
        <v>1200000</v>
      </c>
      <c r="L6" s="86">
        <f t="shared" si="0"/>
        <v>600000</v>
      </c>
      <c r="M6" s="86">
        <f t="shared" si="0"/>
        <v>900000</v>
      </c>
      <c r="N6" s="86">
        <f t="shared" si="0"/>
        <v>1200000</v>
      </c>
      <c r="O6" s="86">
        <f t="shared" si="0"/>
        <v>600000</v>
      </c>
      <c r="P6" s="86">
        <f t="shared" si="0"/>
        <v>900000</v>
      </c>
      <c r="Q6" s="86">
        <f t="shared" si="0"/>
        <v>1500000</v>
      </c>
      <c r="R6" s="86">
        <f t="shared" si="0"/>
        <v>1500000</v>
      </c>
      <c r="S6" s="86">
        <f t="shared" si="0"/>
        <v>1500000</v>
      </c>
      <c r="T6" s="87">
        <f t="shared" si="0"/>
        <v>1500000</v>
      </c>
      <c r="U6" s="128"/>
    </row>
    <row r="7" spans="1:21">
      <c r="B7">
        <v>230001</v>
      </c>
      <c r="C7" t="s">
        <v>150</v>
      </c>
      <c r="D7" t="s">
        <v>151</v>
      </c>
      <c r="E7" t="s">
        <v>152</v>
      </c>
      <c r="F7">
        <v>510000</v>
      </c>
      <c r="G7">
        <v>510000</v>
      </c>
      <c r="H7">
        <v>0</v>
      </c>
      <c r="I7">
        <v>50000</v>
      </c>
      <c r="J7">
        <v>30000</v>
      </c>
      <c r="K7">
        <v>40000</v>
      </c>
      <c r="L7">
        <v>20000</v>
      </c>
      <c r="M7">
        <v>30000</v>
      </c>
      <c r="N7">
        <v>40000</v>
      </c>
      <c r="O7">
        <v>20000</v>
      </c>
      <c r="P7">
        <v>30000</v>
      </c>
      <c r="Q7">
        <v>50000</v>
      </c>
      <c r="R7">
        <v>50000</v>
      </c>
      <c r="S7">
        <v>50000</v>
      </c>
      <c r="T7">
        <v>50000</v>
      </c>
    </row>
    <row r="8" spans="1:21">
      <c r="B8">
        <v>230002</v>
      </c>
      <c r="C8" t="s">
        <v>150</v>
      </c>
      <c r="D8" t="s">
        <v>151</v>
      </c>
      <c r="E8" t="s">
        <v>157</v>
      </c>
      <c r="F8">
        <v>520000</v>
      </c>
      <c r="G8">
        <v>540000</v>
      </c>
      <c r="H8">
        <v>20000</v>
      </c>
      <c r="I8">
        <v>50000</v>
      </c>
      <c r="J8">
        <v>30000</v>
      </c>
      <c r="K8">
        <v>40000</v>
      </c>
      <c r="L8">
        <v>20000</v>
      </c>
      <c r="M8">
        <v>30000</v>
      </c>
      <c r="N8">
        <v>40000</v>
      </c>
      <c r="O8">
        <v>20000</v>
      </c>
      <c r="P8">
        <v>30000</v>
      </c>
      <c r="Q8">
        <v>50000</v>
      </c>
      <c r="R8">
        <v>50000</v>
      </c>
      <c r="S8">
        <v>50000</v>
      </c>
      <c r="T8">
        <v>50000</v>
      </c>
    </row>
    <row r="9" spans="1:21">
      <c r="B9">
        <v>230003</v>
      </c>
      <c r="C9" t="s">
        <v>150</v>
      </c>
      <c r="D9" t="s">
        <v>151</v>
      </c>
      <c r="E9" t="s">
        <v>161</v>
      </c>
      <c r="F9">
        <v>530000</v>
      </c>
      <c r="G9">
        <v>510000</v>
      </c>
      <c r="H9">
        <v>-20000</v>
      </c>
      <c r="I9">
        <v>50000</v>
      </c>
      <c r="J9">
        <v>30000</v>
      </c>
      <c r="K9">
        <v>40000</v>
      </c>
      <c r="L9">
        <v>20000</v>
      </c>
      <c r="M9">
        <v>30000</v>
      </c>
      <c r="N9">
        <v>40000</v>
      </c>
      <c r="O9">
        <v>20000</v>
      </c>
      <c r="P9">
        <v>30000</v>
      </c>
      <c r="Q9">
        <v>50000</v>
      </c>
      <c r="R9">
        <v>50000</v>
      </c>
      <c r="S9">
        <v>50000</v>
      </c>
      <c r="T9">
        <v>50000</v>
      </c>
    </row>
    <row r="10" spans="1:21">
      <c r="B10">
        <v>230004</v>
      </c>
      <c r="C10" t="s">
        <v>150</v>
      </c>
      <c r="D10" t="s">
        <v>151</v>
      </c>
      <c r="E10" t="s">
        <v>165</v>
      </c>
      <c r="F10">
        <v>540000</v>
      </c>
      <c r="G10">
        <v>540000</v>
      </c>
      <c r="H10">
        <v>0</v>
      </c>
      <c r="I10">
        <v>50000</v>
      </c>
      <c r="J10">
        <v>30000</v>
      </c>
      <c r="K10">
        <v>40000</v>
      </c>
      <c r="L10">
        <v>20000</v>
      </c>
      <c r="M10">
        <v>30000</v>
      </c>
      <c r="N10">
        <v>40000</v>
      </c>
      <c r="O10">
        <v>20000</v>
      </c>
      <c r="P10">
        <v>30000</v>
      </c>
      <c r="Q10">
        <v>50000</v>
      </c>
      <c r="R10">
        <v>50000</v>
      </c>
      <c r="S10">
        <v>50000</v>
      </c>
      <c r="T10">
        <v>50000</v>
      </c>
    </row>
    <row r="11" spans="1:21">
      <c r="B11">
        <v>230005</v>
      </c>
      <c r="C11" t="s">
        <v>150</v>
      </c>
      <c r="D11" t="s">
        <v>151</v>
      </c>
      <c r="E11" t="s">
        <v>169</v>
      </c>
      <c r="F11">
        <v>550000</v>
      </c>
      <c r="G11">
        <v>570000</v>
      </c>
      <c r="H11">
        <v>20000</v>
      </c>
      <c r="I11">
        <v>50000</v>
      </c>
      <c r="J11">
        <v>30000</v>
      </c>
      <c r="K11">
        <v>40000</v>
      </c>
      <c r="L11">
        <v>20000</v>
      </c>
      <c r="M11">
        <v>30000</v>
      </c>
      <c r="N11">
        <v>40000</v>
      </c>
      <c r="O11">
        <v>20000</v>
      </c>
      <c r="P11">
        <v>30000</v>
      </c>
      <c r="Q11">
        <v>50000</v>
      </c>
      <c r="R11">
        <v>50000</v>
      </c>
      <c r="S11">
        <v>50000</v>
      </c>
      <c r="T11">
        <v>50000</v>
      </c>
    </row>
    <row r="12" spans="1:21">
      <c r="B12">
        <v>230006</v>
      </c>
      <c r="C12" t="s">
        <v>150</v>
      </c>
      <c r="D12" t="s">
        <v>151</v>
      </c>
      <c r="E12" t="s">
        <v>172</v>
      </c>
      <c r="F12">
        <v>560000</v>
      </c>
      <c r="G12">
        <v>540000</v>
      </c>
      <c r="H12">
        <v>-20000</v>
      </c>
      <c r="I12">
        <v>50000</v>
      </c>
      <c r="J12">
        <v>30000</v>
      </c>
      <c r="K12">
        <v>40000</v>
      </c>
      <c r="L12">
        <v>20000</v>
      </c>
      <c r="M12">
        <v>30000</v>
      </c>
      <c r="N12">
        <v>40000</v>
      </c>
      <c r="O12">
        <v>20000</v>
      </c>
      <c r="P12">
        <v>30000</v>
      </c>
      <c r="Q12">
        <v>50000</v>
      </c>
      <c r="R12">
        <v>50000</v>
      </c>
      <c r="S12">
        <v>50000</v>
      </c>
      <c r="T12">
        <v>50000</v>
      </c>
    </row>
    <row r="13" spans="1:21">
      <c r="B13">
        <v>230007</v>
      </c>
      <c r="C13" t="s">
        <v>150</v>
      </c>
      <c r="D13" t="s">
        <v>151</v>
      </c>
      <c r="E13" t="s">
        <v>175</v>
      </c>
      <c r="F13">
        <v>570000</v>
      </c>
      <c r="G13">
        <v>570000</v>
      </c>
      <c r="H13">
        <v>0</v>
      </c>
      <c r="I13">
        <v>50000</v>
      </c>
      <c r="J13">
        <v>30000</v>
      </c>
      <c r="K13">
        <v>40000</v>
      </c>
      <c r="L13">
        <v>20000</v>
      </c>
      <c r="M13">
        <v>30000</v>
      </c>
      <c r="N13">
        <v>40000</v>
      </c>
      <c r="O13">
        <v>20000</v>
      </c>
      <c r="P13">
        <v>30000</v>
      </c>
      <c r="Q13">
        <v>50000</v>
      </c>
      <c r="R13">
        <v>50000</v>
      </c>
      <c r="S13">
        <v>50000</v>
      </c>
      <c r="T13">
        <v>50000</v>
      </c>
    </row>
    <row r="14" spans="1:21">
      <c r="B14">
        <v>230008</v>
      </c>
      <c r="C14" t="s">
        <v>150</v>
      </c>
      <c r="D14" t="s">
        <v>151</v>
      </c>
      <c r="E14" t="s">
        <v>178</v>
      </c>
      <c r="F14">
        <v>580000</v>
      </c>
      <c r="G14">
        <v>600000</v>
      </c>
      <c r="H14">
        <v>20000</v>
      </c>
      <c r="I14">
        <v>50000</v>
      </c>
      <c r="J14">
        <v>30000</v>
      </c>
      <c r="K14">
        <v>40000</v>
      </c>
      <c r="L14">
        <v>20000</v>
      </c>
      <c r="M14">
        <v>30000</v>
      </c>
      <c r="N14">
        <v>40000</v>
      </c>
      <c r="O14">
        <v>20000</v>
      </c>
      <c r="P14">
        <v>30000</v>
      </c>
      <c r="Q14">
        <v>50000</v>
      </c>
      <c r="R14">
        <v>50000</v>
      </c>
      <c r="S14">
        <v>50000</v>
      </c>
      <c r="T14">
        <v>50000</v>
      </c>
    </row>
    <row r="15" spans="1:21">
      <c r="B15">
        <v>230009</v>
      </c>
      <c r="C15" t="s">
        <v>150</v>
      </c>
      <c r="D15" t="s">
        <v>151</v>
      </c>
      <c r="E15" t="s">
        <v>181</v>
      </c>
      <c r="F15">
        <v>590000</v>
      </c>
      <c r="G15">
        <v>570000</v>
      </c>
      <c r="H15">
        <v>-20000</v>
      </c>
      <c r="I15">
        <v>50000</v>
      </c>
      <c r="J15">
        <v>30000</v>
      </c>
      <c r="K15">
        <v>40000</v>
      </c>
      <c r="L15">
        <v>20000</v>
      </c>
      <c r="M15">
        <v>30000</v>
      </c>
      <c r="N15">
        <v>40000</v>
      </c>
      <c r="O15">
        <v>20000</v>
      </c>
      <c r="P15">
        <v>30000</v>
      </c>
      <c r="Q15">
        <v>50000</v>
      </c>
      <c r="R15">
        <v>50000</v>
      </c>
      <c r="S15">
        <v>50000</v>
      </c>
      <c r="T15">
        <v>50000</v>
      </c>
    </row>
    <row r="16" spans="1:21">
      <c r="B16">
        <v>230010</v>
      </c>
      <c r="C16" t="s">
        <v>150</v>
      </c>
      <c r="D16" t="s">
        <v>151</v>
      </c>
      <c r="E16" t="s">
        <v>184</v>
      </c>
      <c r="F16">
        <v>600000</v>
      </c>
      <c r="G16">
        <v>600000</v>
      </c>
      <c r="H16">
        <v>0</v>
      </c>
      <c r="I16">
        <v>50000</v>
      </c>
      <c r="J16">
        <v>30000</v>
      </c>
      <c r="K16">
        <v>40000</v>
      </c>
      <c r="L16">
        <v>20000</v>
      </c>
      <c r="M16">
        <v>30000</v>
      </c>
      <c r="N16">
        <v>40000</v>
      </c>
      <c r="O16">
        <v>20000</v>
      </c>
      <c r="P16">
        <v>30000</v>
      </c>
      <c r="Q16">
        <v>50000</v>
      </c>
      <c r="R16">
        <v>50000</v>
      </c>
      <c r="S16">
        <v>50000</v>
      </c>
      <c r="T16">
        <v>50000</v>
      </c>
    </row>
    <row r="17" spans="2:20">
      <c r="B17">
        <v>130001</v>
      </c>
      <c r="C17" t="s">
        <v>150</v>
      </c>
      <c r="D17" t="s">
        <v>187</v>
      </c>
      <c r="E17" t="s">
        <v>188</v>
      </c>
      <c r="F17">
        <v>510000</v>
      </c>
      <c r="G17">
        <v>510000</v>
      </c>
      <c r="H17">
        <v>0</v>
      </c>
      <c r="I17">
        <v>50000</v>
      </c>
      <c r="J17">
        <v>30000</v>
      </c>
      <c r="K17">
        <v>40000</v>
      </c>
      <c r="L17">
        <v>20000</v>
      </c>
      <c r="M17">
        <v>30000</v>
      </c>
      <c r="N17">
        <v>40000</v>
      </c>
      <c r="O17">
        <v>20000</v>
      </c>
      <c r="P17">
        <v>30000</v>
      </c>
      <c r="Q17">
        <v>50000</v>
      </c>
      <c r="R17">
        <v>50000</v>
      </c>
      <c r="S17">
        <v>50000</v>
      </c>
      <c r="T17">
        <v>50000</v>
      </c>
    </row>
    <row r="18" spans="2:20">
      <c r="B18">
        <v>130002</v>
      </c>
      <c r="C18" t="s">
        <v>150</v>
      </c>
      <c r="D18" t="s">
        <v>187</v>
      </c>
      <c r="E18" t="s">
        <v>190</v>
      </c>
      <c r="F18">
        <v>520000</v>
      </c>
      <c r="G18">
        <v>540000</v>
      </c>
      <c r="H18">
        <v>20000</v>
      </c>
      <c r="I18">
        <v>50000</v>
      </c>
      <c r="J18">
        <v>30000</v>
      </c>
      <c r="K18">
        <v>40000</v>
      </c>
      <c r="L18">
        <v>20000</v>
      </c>
      <c r="M18">
        <v>30000</v>
      </c>
      <c r="N18">
        <v>40000</v>
      </c>
      <c r="O18">
        <v>20000</v>
      </c>
      <c r="P18">
        <v>30000</v>
      </c>
      <c r="Q18">
        <v>50000</v>
      </c>
      <c r="R18">
        <v>50000</v>
      </c>
      <c r="S18">
        <v>50000</v>
      </c>
      <c r="T18">
        <v>50000</v>
      </c>
    </row>
    <row r="19" spans="2:20">
      <c r="B19">
        <v>130003</v>
      </c>
      <c r="C19" t="s">
        <v>150</v>
      </c>
      <c r="D19" t="s">
        <v>187</v>
      </c>
      <c r="E19" t="s">
        <v>192</v>
      </c>
      <c r="F19">
        <v>530000</v>
      </c>
      <c r="G19">
        <v>510000</v>
      </c>
      <c r="H19">
        <v>-20000</v>
      </c>
      <c r="I19">
        <v>50000</v>
      </c>
      <c r="J19">
        <v>30000</v>
      </c>
      <c r="K19">
        <v>40000</v>
      </c>
      <c r="L19">
        <v>20000</v>
      </c>
      <c r="M19">
        <v>30000</v>
      </c>
      <c r="N19">
        <v>40000</v>
      </c>
      <c r="O19">
        <v>20000</v>
      </c>
      <c r="P19">
        <v>30000</v>
      </c>
      <c r="Q19">
        <v>50000</v>
      </c>
      <c r="R19">
        <v>50000</v>
      </c>
      <c r="S19">
        <v>50000</v>
      </c>
      <c r="T19">
        <v>50000</v>
      </c>
    </row>
    <row r="20" spans="2:20">
      <c r="B20">
        <v>130004</v>
      </c>
      <c r="C20" t="s">
        <v>150</v>
      </c>
      <c r="D20" t="s">
        <v>187</v>
      </c>
      <c r="E20" t="s">
        <v>194</v>
      </c>
      <c r="F20">
        <v>540000</v>
      </c>
      <c r="G20">
        <v>540000</v>
      </c>
      <c r="H20">
        <v>0</v>
      </c>
      <c r="I20">
        <v>50000</v>
      </c>
      <c r="J20">
        <v>30000</v>
      </c>
      <c r="K20">
        <v>40000</v>
      </c>
      <c r="L20">
        <v>20000</v>
      </c>
      <c r="M20">
        <v>30000</v>
      </c>
      <c r="N20">
        <v>40000</v>
      </c>
      <c r="O20">
        <v>20000</v>
      </c>
      <c r="P20">
        <v>30000</v>
      </c>
      <c r="Q20">
        <v>50000</v>
      </c>
      <c r="R20">
        <v>50000</v>
      </c>
      <c r="S20">
        <v>50000</v>
      </c>
      <c r="T20">
        <v>50000</v>
      </c>
    </row>
    <row r="21" spans="2:20">
      <c r="B21">
        <v>130005</v>
      </c>
      <c r="C21" t="s">
        <v>150</v>
      </c>
      <c r="D21" t="s">
        <v>187</v>
      </c>
      <c r="E21" t="s">
        <v>196</v>
      </c>
      <c r="F21">
        <v>550000</v>
      </c>
      <c r="G21">
        <v>570000</v>
      </c>
      <c r="H21">
        <v>20000</v>
      </c>
      <c r="I21">
        <v>50000</v>
      </c>
      <c r="J21">
        <v>30000</v>
      </c>
      <c r="K21">
        <v>40000</v>
      </c>
      <c r="L21">
        <v>20000</v>
      </c>
      <c r="M21">
        <v>30000</v>
      </c>
      <c r="N21">
        <v>40000</v>
      </c>
      <c r="O21">
        <v>20000</v>
      </c>
      <c r="P21">
        <v>30000</v>
      </c>
      <c r="Q21">
        <v>50000</v>
      </c>
      <c r="R21">
        <v>50000</v>
      </c>
      <c r="S21">
        <v>50000</v>
      </c>
      <c r="T21">
        <v>50000</v>
      </c>
    </row>
    <row r="22" spans="2:20">
      <c r="B22">
        <v>130006</v>
      </c>
      <c r="C22" t="s">
        <v>150</v>
      </c>
      <c r="D22" t="s">
        <v>187</v>
      </c>
      <c r="E22" t="s">
        <v>198</v>
      </c>
      <c r="F22">
        <v>560000</v>
      </c>
      <c r="G22">
        <v>540000</v>
      </c>
      <c r="H22">
        <v>-20000</v>
      </c>
      <c r="I22">
        <v>50000</v>
      </c>
      <c r="J22">
        <v>30000</v>
      </c>
      <c r="K22">
        <v>40000</v>
      </c>
      <c r="L22">
        <v>20000</v>
      </c>
      <c r="M22">
        <v>30000</v>
      </c>
      <c r="N22">
        <v>40000</v>
      </c>
      <c r="O22">
        <v>20000</v>
      </c>
      <c r="P22">
        <v>30000</v>
      </c>
      <c r="Q22">
        <v>50000</v>
      </c>
      <c r="R22">
        <v>50000</v>
      </c>
      <c r="S22">
        <v>50000</v>
      </c>
      <c r="T22">
        <v>50000</v>
      </c>
    </row>
    <row r="23" spans="2:20">
      <c r="B23">
        <v>130007</v>
      </c>
      <c r="C23" t="s">
        <v>150</v>
      </c>
      <c r="D23" t="s">
        <v>187</v>
      </c>
      <c r="E23" t="s">
        <v>200</v>
      </c>
      <c r="F23">
        <v>570000</v>
      </c>
      <c r="G23">
        <v>570000</v>
      </c>
      <c r="H23">
        <v>0</v>
      </c>
      <c r="I23">
        <v>50000</v>
      </c>
      <c r="J23">
        <v>30000</v>
      </c>
      <c r="K23">
        <v>40000</v>
      </c>
      <c r="L23">
        <v>20000</v>
      </c>
      <c r="M23">
        <v>30000</v>
      </c>
      <c r="N23">
        <v>40000</v>
      </c>
      <c r="O23">
        <v>20000</v>
      </c>
      <c r="P23">
        <v>30000</v>
      </c>
      <c r="Q23">
        <v>50000</v>
      </c>
      <c r="R23">
        <v>50000</v>
      </c>
      <c r="S23">
        <v>50000</v>
      </c>
      <c r="T23">
        <v>50000</v>
      </c>
    </row>
    <row r="24" spans="2:20">
      <c r="B24">
        <v>130008</v>
      </c>
      <c r="C24" t="s">
        <v>150</v>
      </c>
      <c r="D24" t="s">
        <v>187</v>
      </c>
      <c r="E24" t="s">
        <v>202</v>
      </c>
      <c r="F24">
        <v>580000</v>
      </c>
      <c r="G24">
        <v>600000</v>
      </c>
      <c r="H24">
        <v>20000</v>
      </c>
      <c r="I24">
        <v>50000</v>
      </c>
      <c r="J24">
        <v>30000</v>
      </c>
      <c r="K24">
        <v>40000</v>
      </c>
      <c r="L24">
        <v>20000</v>
      </c>
      <c r="M24">
        <v>30000</v>
      </c>
      <c r="N24">
        <v>40000</v>
      </c>
      <c r="O24">
        <v>20000</v>
      </c>
      <c r="P24">
        <v>30000</v>
      </c>
      <c r="Q24">
        <v>50000</v>
      </c>
      <c r="R24">
        <v>50000</v>
      </c>
      <c r="S24">
        <v>50000</v>
      </c>
      <c r="T24">
        <v>50000</v>
      </c>
    </row>
    <row r="25" spans="2:20">
      <c r="B25">
        <v>130009</v>
      </c>
      <c r="C25" t="s">
        <v>150</v>
      </c>
      <c r="D25" t="s">
        <v>187</v>
      </c>
      <c r="E25" t="s">
        <v>204</v>
      </c>
      <c r="F25">
        <v>590000</v>
      </c>
      <c r="G25">
        <v>570000</v>
      </c>
      <c r="H25">
        <v>-20000</v>
      </c>
      <c r="I25">
        <v>50000</v>
      </c>
      <c r="J25">
        <v>30000</v>
      </c>
      <c r="K25">
        <v>40000</v>
      </c>
      <c r="L25">
        <v>20000</v>
      </c>
      <c r="M25">
        <v>30000</v>
      </c>
      <c r="N25">
        <v>40000</v>
      </c>
      <c r="O25">
        <v>20000</v>
      </c>
      <c r="P25">
        <v>30000</v>
      </c>
      <c r="Q25">
        <v>50000</v>
      </c>
      <c r="R25">
        <v>50000</v>
      </c>
      <c r="S25">
        <v>50000</v>
      </c>
      <c r="T25">
        <v>50000</v>
      </c>
    </row>
    <row r="26" spans="2:20">
      <c r="B26">
        <v>130010</v>
      </c>
      <c r="C26" t="s">
        <v>150</v>
      </c>
      <c r="D26" t="s">
        <v>187</v>
      </c>
      <c r="E26" t="s">
        <v>206</v>
      </c>
      <c r="F26">
        <v>600000</v>
      </c>
      <c r="G26">
        <v>600000</v>
      </c>
      <c r="H26">
        <v>0</v>
      </c>
      <c r="I26">
        <v>50000</v>
      </c>
      <c r="J26">
        <v>30000</v>
      </c>
      <c r="K26">
        <v>40000</v>
      </c>
      <c r="L26">
        <v>20000</v>
      </c>
      <c r="M26">
        <v>30000</v>
      </c>
      <c r="N26">
        <v>40000</v>
      </c>
      <c r="O26">
        <v>20000</v>
      </c>
      <c r="P26">
        <v>30000</v>
      </c>
      <c r="Q26">
        <v>50000</v>
      </c>
      <c r="R26">
        <v>50000</v>
      </c>
      <c r="S26">
        <v>50000</v>
      </c>
      <c r="T26">
        <v>50000</v>
      </c>
    </row>
    <row r="27" spans="2:20">
      <c r="B27">
        <v>270001</v>
      </c>
      <c r="C27" t="s">
        <v>150</v>
      </c>
      <c r="D27" t="s">
        <v>208</v>
      </c>
      <c r="E27" t="s">
        <v>209</v>
      </c>
      <c r="F27">
        <v>510000</v>
      </c>
      <c r="G27">
        <v>510000</v>
      </c>
      <c r="H27">
        <v>0</v>
      </c>
      <c r="I27">
        <v>50000</v>
      </c>
      <c r="J27">
        <v>30000</v>
      </c>
      <c r="K27">
        <v>40000</v>
      </c>
      <c r="L27">
        <v>20000</v>
      </c>
      <c r="M27">
        <v>30000</v>
      </c>
      <c r="N27">
        <v>40000</v>
      </c>
      <c r="O27">
        <v>20000</v>
      </c>
      <c r="P27">
        <v>30000</v>
      </c>
      <c r="Q27">
        <v>50000</v>
      </c>
      <c r="R27">
        <v>50000</v>
      </c>
      <c r="S27">
        <v>50000</v>
      </c>
      <c r="T27">
        <v>50000</v>
      </c>
    </row>
    <row r="28" spans="2:20">
      <c r="B28">
        <v>270002</v>
      </c>
      <c r="C28" t="s">
        <v>150</v>
      </c>
      <c r="D28" t="s">
        <v>208</v>
      </c>
      <c r="E28" t="s">
        <v>211</v>
      </c>
      <c r="F28">
        <v>520000</v>
      </c>
      <c r="G28">
        <v>540000</v>
      </c>
      <c r="H28">
        <v>20000</v>
      </c>
      <c r="I28">
        <v>50000</v>
      </c>
      <c r="J28">
        <v>30000</v>
      </c>
      <c r="K28">
        <v>40000</v>
      </c>
      <c r="L28">
        <v>20000</v>
      </c>
      <c r="M28">
        <v>30000</v>
      </c>
      <c r="N28">
        <v>40000</v>
      </c>
      <c r="O28">
        <v>20000</v>
      </c>
      <c r="P28">
        <v>30000</v>
      </c>
      <c r="Q28">
        <v>50000</v>
      </c>
      <c r="R28">
        <v>50000</v>
      </c>
      <c r="S28">
        <v>50000</v>
      </c>
      <c r="T28">
        <v>50000</v>
      </c>
    </row>
    <row r="29" spans="2:20">
      <c r="B29">
        <v>270003</v>
      </c>
      <c r="C29" t="s">
        <v>150</v>
      </c>
      <c r="D29" t="s">
        <v>208</v>
      </c>
      <c r="E29" t="s">
        <v>213</v>
      </c>
      <c r="F29">
        <v>530000</v>
      </c>
      <c r="G29">
        <v>510000</v>
      </c>
      <c r="H29">
        <v>-20000</v>
      </c>
      <c r="I29">
        <v>50000</v>
      </c>
      <c r="J29">
        <v>30000</v>
      </c>
      <c r="K29">
        <v>40000</v>
      </c>
      <c r="L29">
        <v>20000</v>
      </c>
      <c r="M29">
        <v>30000</v>
      </c>
      <c r="N29">
        <v>40000</v>
      </c>
      <c r="O29">
        <v>20000</v>
      </c>
      <c r="P29">
        <v>30000</v>
      </c>
      <c r="Q29">
        <v>50000</v>
      </c>
      <c r="R29">
        <v>50000</v>
      </c>
      <c r="S29">
        <v>50000</v>
      </c>
      <c r="T29">
        <v>50000</v>
      </c>
    </row>
    <row r="30" spans="2:20">
      <c r="B30">
        <v>270004</v>
      </c>
      <c r="C30" t="s">
        <v>150</v>
      </c>
      <c r="D30" t="s">
        <v>208</v>
      </c>
      <c r="E30" t="s">
        <v>215</v>
      </c>
      <c r="F30">
        <v>540000</v>
      </c>
      <c r="G30">
        <v>540000</v>
      </c>
      <c r="H30">
        <v>0</v>
      </c>
      <c r="I30">
        <v>50000</v>
      </c>
      <c r="J30">
        <v>30000</v>
      </c>
      <c r="K30">
        <v>40000</v>
      </c>
      <c r="L30">
        <v>20000</v>
      </c>
      <c r="M30">
        <v>30000</v>
      </c>
      <c r="N30">
        <v>40000</v>
      </c>
      <c r="O30">
        <v>20000</v>
      </c>
      <c r="P30">
        <v>30000</v>
      </c>
      <c r="Q30">
        <v>50000</v>
      </c>
      <c r="R30">
        <v>50000</v>
      </c>
      <c r="S30">
        <v>50000</v>
      </c>
      <c r="T30">
        <v>50000</v>
      </c>
    </row>
    <row r="31" spans="2:20">
      <c r="B31">
        <v>270005</v>
      </c>
      <c r="C31" t="s">
        <v>150</v>
      </c>
      <c r="D31" t="s">
        <v>208</v>
      </c>
      <c r="E31" t="s">
        <v>217</v>
      </c>
      <c r="F31">
        <v>550000</v>
      </c>
      <c r="G31">
        <v>570000</v>
      </c>
      <c r="H31">
        <v>20000</v>
      </c>
      <c r="I31">
        <v>50000</v>
      </c>
      <c r="J31">
        <v>30000</v>
      </c>
      <c r="K31">
        <v>40000</v>
      </c>
      <c r="L31">
        <v>20000</v>
      </c>
      <c r="M31">
        <v>30000</v>
      </c>
      <c r="N31">
        <v>40000</v>
      </c>
      <c r="O31">
        <v>20000</v>
      </c>
      <c r="P31">
        <v>30000</v>
      </c>
      <c r="Q31">
        <v>50000</v>
      </c>
      <c r="R31">
        <v>50000</v>
      </c>
      <c r="S31">
        <v>50000</v>
      </c>
      <c r="T31">
        <v>50000</v>
      </c>
    </row>
    <row r="32" spans="2:20">
      <c r="B32">
        <v>270006</v>
      </c>
      <c r="C32" t="s">
        <v>150</v>
      </c>
      <c r="D32" t="s">
        <v>208</v>
      </c>
      <c r="E32" t="s">
        <v>219</v>
      </c>
      <c r="F32">
        <v>560000</v>
      </c>
      <c r="G32">
        <v>540000</v>
      </c>
      <c r="H32">
        <v>-20000</v>
      </c>
      <c r="I32">
        <v>50000</v>
      </c>
      <c r="J32">
        <v>30000</v>
      </c>
      <c r="K32">
        <v>40000</v>
      </c>
      <c r="L32">
        <v>20000</v>
      </c>
      <c r="M32">
        <v>30000</v>
      </c>
      <c r="N32">
        <v>40000</v>
      </c>
      <c r="O32">
        <v>20000</v>
      </c>
      <c r="P32">
        <v>30000</v>
      </c>
      <c r="Q32">
        <v>50000</v>
      </c>
      <c r="R32">
        <v>50000</v>
      </c>
      <c r="S32">
        <v>50000</v>
      </c>
      <c r="T32">
        <v>50000</v>
      </c>
    </row>
    <row r="33" spans="2:20">
      <c r="B33">
        <v>270007</v>
      </c>
      <c r="C33" t="s">
        <v>150</v>
      </c>
      <c r="D33" t="s">
        <v>208</v>
      </c>
      <c r="E33" t="s">
        <v>221</v>
      </c>
      <c r="F33">
        <v>570000</v>
      </c>
      <c r="G33">
        <v>570000</v>
      </c>
      <c r="H33">
        <v>0</v>
      </c>
      <c r="I33">
        <v>50000</v>
      </c>
      <c r="J33">
        <v>30000</v>
      </c>
      <c r="K33">
        <v>40000</v>
      </c>
      <c r="L33">
        <v>20000</v>
      </c>
      <c r="M33">
        <v>30000</v>
      </c>
      <c r="N33">
        <v>40000</v>
      </c>
      <c r="O33">
        <v>20000</v>
      </c>
      <c r="P33">
        <v>30000</v>
      </c>
      <c r="Q33">
        <v>50000</v>
      </c>
      <c r="R33">
        <v>50000</v>
      </c>
      <c r="S33">
        <v>50000</v>
      </c>
      <c r="T33">
        <v>50000</v>
      </c>
    </row>
    <row r="34" spans="2:20">
      <c r="B34">
        <v>270008</v>
      </c>
      <c r="C34" t="s">
        <v>150</v>
      </c>
      <c r="D34" t="s">
        <v>208</v>
      </c>
      <c r="E34" t="s">
        <v>223</v>
      </c>
      <c r="F34">
        <v>580000</v>
      </c>
      <c r="G34">
        <v>600000</v>
      </c>
      <c r="H34">
        <v>20000</v>
      </c>
      <c r="I34">
        <v>50000</v>
      </c>
      <c r="J34">
        <v>30000</v>
      </c>
      <c r="K34">
        <v>40000</v>
      </c>
      <c r="L34">
        <v>20000</v>
      </c>
      <c r="M34">
        <v>30000</v>
      </c>
      <c r="N34">
        <v>40000</v>
      </c>
      <c r="O34">
        <v>20000</v>
      </c>
      <c r="P34">
        <v>30000</v>
      </c>
      <c r="Q34">
        <v>50000</v>
      </c>
      <c r="R34">
        <v>50000</v>
      </c>
      <c r="S34">
        <v>50000</v>
      </c>
      <c r="T34">
        <v>50000</v>
      </c>
    </row>
    <row r="35" spans="2:20">
      <c r="B35">
        <v>270009</v>
      </c>
      <c r="C35" t="s">
        <v>150</v>
      </c>
      <c r="D35" t="s">
        <v>208</v>
      </c>
      <c r="E35" t="s">
        <v>225</v>
      </c>
      <c r="F35">
        <v>590000</v>
      </c>
      <c r="G35">
        <v>570000</v>
      </c>
      <c r="H35">
        <v>-20000</v>
      </c>
      <c r="I35">
        <v>50000</v>
      </c>
      <c r="J35">
        <v>30000</v>
      </c>
      <c r="K35">
        <v>40000</v>
      </c>
      <c r="L35">
        <v>20000</v>
      </c>
      <c r="M35">
        <v>30000</v>
      </c>
      <c r="N35">
        <v>40000</v>
      </c>
      <c r="O35">
        <v>20000</v>
      </c>
      <c r="P35">
        <v>30000</v>
      </c>
      <c r="Q35">
        <v>50000</v>
      </c>
      <c r="R35">
        <v>50000</v>
      </c>
      <c r="S35">
        <v>50000</v>
      </c>
      <c r="T35">
        <v>50000</v>
      </c>
    </row>
    <row r="36" spans="2:20">
      <c r="B36">
        <v>270010</v>
      </c>
      <c r="C36" t="s">
        <v>150</v>
      </c>
      <c r="D36" t="s">
        <v>208</v>
      </c>
      <c r="E36" t="s">
        <v>227</v>
      </c>
      <c r="F36">
        <v>600000</v>
      </c>
      <c r="G36">
        <v>600000</v>
      </c>
      <c r="H36">
        <v>0</v>
      </c>
      <c r="I36">
        <v>50000</v>
      </c>
      <c r="J36">
        <v>30000</v>
      </c>
      <c r="K36">
        <v>40000</v>
      </c>
      <c r="L36">
        <v>20000</v>
      </c>
      <c r="M36">
        <v>30000</v>
      </c>
      <c r="N36">
        <v>40000</v>
      </c>
      <c r="O36">
        <v>20000</v>
      </c>
      <c r="P36">
        <v>30000</v>
      </c>
      <c r="Q36">
        <v>50000</v>
      </c>
      <c r="R36">
        <v>50000</v>
      </c>
      <c r="S36">
        <v>50000</v>
      </c>
      <c r="T36">
        <v>50000</v>
      </c>
    </row>
  </sheetData>
  <mergeCells count="9">
    <mergeCell ref="F4:H4"/>
    <mergeCell ref="I4:K4"/>
    <mergeCell ref="L4:T4"/>
    <mergeCell ref="U4:U6"/>
    <mergeCell ref="A4:A6"/>
    <mergeCell ref="C4:C6"/>
    <mergeCell ref="D4:D6"/>
    <mergeCell ref="E4:E6"/>
    <mergeCell ref="B4:B6"/>
  </mergeCells>
  <phoneticPr fontId="2"/>
  <pageMargins left="0.25" right="0.25" top="0.75" bottom="0.75" header="0.3" footer="0.3"/>
  <pageSetup paperSize="9" scale="7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15260-AE1F-4718-9606-F834FB4CB276}">
  <sheetPr codeName="Sheet3">
    <tabColor rgb="FFFFC000"/>
  </sheetPr>
  <dimension ref="A1:Y36"/>
  <sheetViews>
    <sheetView topLeftCell="M1" zoomScaleNormal="100" workbookViewId="0">
      <selection activeCell="Y4" sqref="Y4:Y6"/>
    </sheetView>
  </sheetViews>
  <sheetFormatPr defaultColWidth="9" defaultRowHeight="18"/>
  <cols>
    <col min="2" max="2" width="10.83203125" customWidth="1"/>
    <col min="3" max="3" width="13" customWidth="1"/>
    <col min="5" max="5" width="11.33203125" customWidth="1"/>
    <col min="6" max="6" width="11.08203125" customWidth="1"/>
    <col min="7" max="7" width="34.75" customWidth="1"/>
    <col min="8" max="8" width="27" customWidth="1"/>
    <col min="9" max="9" width="22.25" customWidth="1"/>
    <col min="10" max="10" width="26" customWidth="1"/>
    <col min="11" max="12" width="17.5" customWidth="1"/>
    <col min="13" max="15" width="15.83203125" customWidth="1"/>
    <col min="16" max="16" width="16.83203125" customWidth="1"/>
    <col min="17" max="22" width="16.08203125" customWidth="1"/>
    <col min="23" max="25" width="12.08203125" customWidth="1"/>
  </cols>
  <sheetData>
    <row r="1" spans="1:25" s="2" customFormat="1">
      <c r="A1" s="1" t="s">
        <v>89</v>
      </c>
      <c r="B1" s="1"/>
      <c r="C1" s="1"/>
      <c r="D1" s="1"/>
    </row>
    <row r="2" spans="1:25" s="2" customFormat="1">
      <c r="B2" s="1"/>
      <c r="D2" s="1"/>
    </row>
    <row r="3" spans="1:25" s="2" customFormat="1" ht="18.5" thickBot="1">
      <c r="A3" s="2" t="s">
        <v>69</v>
      </c>
      <c r="B3" s="27"/>
      <c r="C3" s="2" t="s">
        <v>70</v>
      </c>
      <c r="S3" s="4"/>
      <c r="Y3" s="4" t="s">
        <v>98</v>
      </c>
    </row>
    <row r="4" spans="1:25" s="78" customFormat="1" ht="27" customHeight="1">
      <c r="A4" s="142" t="s">
        <v>87</v>
      </c>
      <c r="B4" s="138" t="s">
        <v>71</v>
      </c>
      <c r="C4" s="146" t="s">
        <v>66</v>
      </c>
      <c r="D4" s="138" t="s">
        <v>79</v>
      </c>
      <c r="E4" s="138" t="s">
        <v>72</v>
      </c>
      <c r="F4" s="138" t="s">
        <v>68</v>
      </c>
      <c r="G4" s="138" t="s">
        <v>80</v>
      </c>
      <c r="H4" s="138" t="s">
        <v>81</v>
      </c>
      <c r="I4" s="138" t="s">
        <v>82</v>
      </c>
      <c r="J4" s="138" t="s">
        <v>73</v>
      </c>
      <c r="K4" s="149" t="s">
        <v>83</v>
      </c>
      <c r="L4" s="138" t="s">
        <v>111</v>
      </c>
      <c r="M4" s="138" t="s">
        <v>145</v>
      </c>
      <c r="N4" s="138" t="s">
        <v>112</v>
      </c>
      <c r="O4" s="138" t="s">
        <v>113</v>
      </c>
      <c r="P4" s="138" t="s">
        <v>114</v>
      </c>
      <c r="Q4" s="138" t="s">
        <v>115</v>
      </c>
      <c r="R4" s="138" t="s">
        <v>116</v>
      </c>
      <c r="S4" s="138" t="s">
        <v>117</v>
      </c>
      <c r="T4" s="138" t="s">
        <v>118</v>
      </c>
      <c r="U4" s="149" t="s">
        <v>119</v>
      </c>
      <c r="V4" s="149" t="s">
        <v>120</v>
      </c>
      <c r="W4" s="138" t="s">
        <v>88</v>
      </c>
      <c r="X4" s="138" t="s">
        <v>84</v>
      </c>
      <c r="Y4" s="152" t="s">
        <v>85</v>
      </c>
    </row>
    <row r="5" spans="1:25" s="78" customFormat="1" ht="27" customHeight="1" thickBot="1">
      <c r="A5" s="143"/>
      <c r="B5" s="139"/>
      <c r="C5" s="147"/>
      <c r="D5" s="139"/>
      <c r="E5" s="139"/>
      <c r="F5" s="139"/>
      <c r="G5" s="139"/>
      <c r="H5" s="139"/>
      <c r="I5" s="139"/>
      <c r="J5" s="139"/>
      <c r="K5" s="150"/>
      <c r="L5" s="145"/>
      <c r="M5" s="145"/>
      <c r="N5" s="145"/>
      <c r="O5" s="145"/>
      <c r="P5" s="145"/>
      <c r="Q5" s="145"/>
      <c r="R5" s="145"/>
      <c r="S5" s="145"/>
      <c r="T5" s="145"/>
      <c r="U5" s="150"/>
      <c r="V5" s="150"/>
      <c r="W5" s="139"/>
      <c r="X5" s="139"/>
      <c r="Y5" s="153"/>
    </row>
    <row r="6" spans="1:25" s="78" customFormat="1" ht="18.75" customHeight="1" thickBot="1">
      <c r="A6" s="144"/>
      <c r="B6" s="141"/>
      <c r="C6" s="148"/>
      <c r="D6" s="141"/>
      <c r="E6" s="141"/>
      <c r="F6" s="141"/>
      <c r="G6" s="141"/>
      <c r="H6" s="141"/>
      <c r="I6" s="141"/>
      <c r="J6" s="141"/>
      <c r="K6" s="151"/>
      <c r="L6" s="96">
        <f>SUM(L7:L1244)</f>
        <v>38250000</v>
      </c>
      <c r="M6" s="97">
        <f t="shared" ref="M6:V6" si="0">SUM(M7:M1244)</f>
        <v>3000000</v>
      </c>
      <c r="N6" s="97">
        <f t="shared" si="0"/>
        <v>35250000</v>
      </c>
      <c r="O6" s="97">
        <f t="shared" si="0"/>
        <v>18300000</v>
      </c>
      <c r="P6" s="98"/>
      <c r="Q6" s="97">
        <f t="shared" si="0"/>
        <v>18300000</v>
      </c>
      <c r="R6" s="97">
        <f t="shared" si="0"/>
        <v>18300000</v>
      </c>
      <c r="S6" s="98"/>
      <c r="T6" s="97">
        <f t="shared" si="0"/>
        <v>9150000</v>
      </c>
      <c r="U6" s="97">
        <f t="shared" si="0"/>
        <v>3000000</v>
      </c>
      <c r="V6" s="99">
        <f t="shared" si="0"/>
        <v>6150000</v>
      </c>
      <c r="W6" s="140"/>
      <c r="X6" s="141"/>
      <c r="Y6" s="154"/>
    </row>
    <row r="7" spans="1:25">
      <c r="B7">
        <v>230001</v>
      </c>
      <c r="C7" t="s">
        <v>149</v>
      </c>
      <c r="D7" t="s">
        <v>150</v>
      </c>
      <c r="E7" t="s">
        <v>151</v>
      </c>
      <c r="F7" t="s">
        <v>152</v>
      </c>
      <c r="G7" t="s">
        <v>229</v>
      </c>
      <c r="H7" t="s">
        <v>104</v>
      </c>
      <c r="I7" t="s">
        <v>230</v>
      </c>
      <c r="J7" t="s">
        <v>231</v>
      </c>
      <c r="K7" t="s">
        <v>232</v>
      </c>
      <c r="L7">
        <v>1050000</v>
      </c>
      <c r="M7">
        <v>100000</v>
      </c>
      <c r="N7">
        <v>950000</v>
      </c>
      <c r="O7">
        <v>520000</v>
      </c>
      <c r="P7">
        <v>1</v>
      </c>
      <c r="Q7">
        <v>520000</v>
      </c>
      <c r="R7">
        <v>520000</v>
      </c>
      <c r="S7">
        <v>0.5</v>
      </c>
      <c r="T7">
        <v>260000</v>
      </c>
      <c r="U7">
        <v>100000</v>
      </c>
      <c r="V7">
        <v>160000</v>
      </c>
      <c r="W7">
        <v>2027</v>
      </c>
      <c r="X7" t="s">
        <v>155</v>
      </c>
    </row>
    <row r="8" spans="1:25">
      <c r="B8">
        <v>230002</v>
      </c>
      <c r="C8" t="s">
        <v>156</v>
      </c>
      <c r="D8" t="s">
        <v>150</v>
      </c>
      <c r="E8" t="s">
        <v>151</v>
      </c>
      <c r="F8" t="s">
        <v>157</v>
      </c>
      <c r="G8" t="s">
        <v>233</v>
      </c>
      <c r="H8" t="s">
        <v>104</v>
      </c>
      <c r="I8" t="s">
        <v>230</v>
      </c>
      <c r="J8" t="s">
        <v>231</v>
      </c>
      <c r="K8" t="s">
        <v>232</v>
      </c>
      <c r="L8">
        <v>1100000</v>
      </c>
      <c r="M8">
        <v>100000</v>
      </c>
      <c r="N8">
        <v>1000000</v>
      </c>
      <c r="O8">
        <v>540000</v>
      </c>
      <c r="P8">
        <v>1</v>
      </c>
      <c r="Q8">
        <v>540000</v>
      </c>
      <c r="R8">
        <v>540000</v>
      </c>
      <c r="S8">
        <v>0.5</v>
      </c>
      <c r="T8">
        <v>270000</v>
      </c>
      <c r="U8">
        <v>100000</v>
      </c>
      <c r="V8">
        <v>170000</v>
      </c>
      <c r="W8">
        <v>2027</v>
      </c>
      <c r="X8" t="s">
        <v>155</v>
      </c>
    </row>
    <row r="9" spans="1:25">
      <c r="B9">
        <v>230003</v>
      </c>
      <c r="C9" t="s">
        <v>160</v>
      </c>
      <c r="D9" t="s">
        <v>150</v>
      </c>
      <c r="E9" t="s">
        <v>151</v>
      </c>
      <c r="F9" t="s">
        <v>161</v>
      </c>
      <c r="G9" t="s">
        <v>234</v>
      </c>
      <c r="H9" t="s">
        <v>104</v>
      </c>
      <c r="I9" t="s">
        <v>230</v>
      </c>
      <c r="J9" t="s">
        <v>231</v>
      </c>
      <c r="K9" t="s">
        <v>232</v>
      </c>
      <c r="L9">
        <v>1150000</v>
      </c>
      <c r="M9">
        <v>100000</v>
      </c>
      <c r="N9">
        <v>1050000</v>
      </c>
      <c r="O9">
        <v>560000</v>
      </c>
      <c r="P9">
        <v>1</v>
      </c>
      <c r="Q9">
        <v>560000</v>
      </c>
      <c r="R9">
        <v>560000</v>
      </c>
      <c r="S9">
        <v>0.5</v>
      </c>
      <c r="T9">
        <v>280000</v>
      </c>
      <c r="U9">
        <v>100000</v>
      </c>
      <c r="V9">
        <v>180000</v>
      </c>
      <c r="W9">
        <v>2027</v>
      </c>
      <c r="X9" t="s">
        <v>155</v>
      </c>
    </row>
    <row r="10" spans="1:25">
      <c r="B10">
        <v>230004</v>
      </c>
      <c r="C10" t="s">
        <v>164</v>
      </c>
      <c r="D10" t="s">
        <v>150</v>
      </c>
      <c r="E10" t="s">
        <v>151</v>
      </c>
      <c r="F10" t="s">
        <v>165</v>
      </c>
      <c r="G10" t="s">
        <v>235</v>
      </c>
      <c r="H10" t="s">
        <v>104</v>
      </c>
      <c r="I10" t="s">
        <v>230</v>
      </c>
      <c r="J10" t="s">
        <v>231</v>
      </c>
      <c r="K10" t="s">
        <v>232</v>
      </c>
      <c r="L10">
        <v>1200000</v>
      </c>
      <c r="M10">
        <v>100000</v>
      </c>
      <c r="N10">
        <v>1100000</v>
      </c>
      <c r="O10">
        <v>580000</v>
      </c>
      <c r="P10">
        <v>1</v>
      </c>
      <c r="Q10">
        <v>580000</v>
      </c>
      <c r="R10">
        <v>580000</v>
      </c>
      <c r="S10">
        <v>0.5</v>
      </c>
      <c r="T10">
        <v>290000</v>
      </c>
      <c r="U10">
        <v>100000</v>
      </c>
      <c r="V10">
        <v>190000</v>
      </c>
      <c r="W10">
        <v>2027</v>
      </c>
      <c r="X10" t="s">
        <v>155</v>
      </c>
    </row>
    <row r="11" spans="1:25">
      <c r="B11">
        <v>230005</v>
      </c>
      <c r="C11" t="s">
        <v>168</v>
      </c>
      <c r="D11" t="s">
        <v>150</v>
      </c>
      <c r="E11" t="s">
        <v>151</v>
      </c>
      <c r="F11" t="s">
        <v>169</v>
      </c>
      <c r="G11" t="s">
        <v>236</v>
      </c>
      <c r="H11" t="s">
        <v>104</v>
      </c>
      <c r="I11" t="s">
        <v>230</v>
      </c>
      <c r="J11" t="s">
        <v>231</v>
      </c>
      <c r="K11" t="s">
        <v>232</v>
      </c>
      <c r="L11">
        <v>1250000</v>
      </c>
      <c r="M11">
        <v>100000</v>
      </c>
      <c r="N11">
        <v>1150000</v>
      </c>
      <c r="O11">
        <v>600000</v>
      </c>
      <c r="P11">
        <v>1</v>
      </c>
      <c r="Q11">
        <v>600000</v>
      </c>
      <c r="R11">
        <v>600000</v>
      </c>
      <c r="S11">
        <v>0.5</v>
      </c>
      <c r="T11">
        <v>300000</v>
      </c>
      <c r="U11">
        <v>100000</v>
      </c>
      <c r="V11">
        <v>200000</v>
      </c>
      <c r="W11">
        <v>2027</v>
      </c>
      <c r="X11" t="s">
        <v>155</v>
      </c>
    </row>
    <row r="12" spans="1:25">
      <c r="B12">
        <v>230006</v>
      </c>
      <c r="C12" t="s">
        <v>171</v>
      </c>
      <c r="D12" t="s">
        <v>150</v>
      </c>
      <c r="E12" t="s">
        <v>151</v>
      </c>
      <c r="F12" t="s">
        <v>172</v>
      </c>
      <c r="G12" t="s">
        <v>237</v>
      </c>
      <c r="H12" t="s">
        <v>104</v>
      </c>
      <c r="I12" t="s">
        <v>230</v>
      </c>
      <c r="J12" t="s">
        <v>231</v>
      </c>
      <c r="K12" t="s">
        <v>232</v>
      </c>
      <c r="L12">
        <v>1300000</v>
      </c>
      <c r="M12">
        <v>100000</v>
      </c>
      <c r="N12">
        <v>1200000</v>
      </c>
      <c r="O12">
        <v>620000</v>
      </c>
      <c r="P12">
        <v>1</v>
      </c>
      <c r="Q12">
        <v>620000</v>
      </c>
      <c r="R12">
        <v>620000</v>
      </c>
      <c r="S12">
        <v>0.5</v>
      </c>
      <c r="T12">
        <v>310000</v>
      </c>
      <c r="U12">
        <v>100000</v>
      </c>
      <c r="V12">
        <v>210000</v>
      </c>
      <c r="W12">
        <v>2027</v>
      </c>
      <c r="X12" t="s">
        <v>155</v>
      </c>
    </row>
    <row r="13" spans="1:25">
      <c r="B13">
        <v>230007</v>
      </c>
      <c r="C13" t="s">
        <v>174</v>
      </c>
      <c r="D13" t="s">
        <v>150</v>
      </c>
      <c r="E13" t="s">
        <v>151</v>
      </c>
      <c r="F13" t="s">
        <v>175</v>
      </c>
      <c r="G13" t="s">
        <v>238</v>
      </c>
      <c r="H13" t="s">
        <v>104</v>
      </c>
      <c r="I13" t="s">
        <v>230</v>
      </c>
      <c r="J13" t="s">
        <v>231</v>
      </c>
      <c r="K13" t="s">
        <v>232</v>
      </c>
      <c r="L13">
        <v>1350000</v>
      </c>
      <c r="M13">
        <v>100000</v>
      </c>
      <c r="N13">
        <v>1250000</v>
      </c>
      <c r="O13">
        <v>640000</v>
      </c>
      <c r="P13">
        <v>1</v>
      </c>
      <c r="Q13">
        <v>640000</v>
      </c>
      <c r="R13">
        <v>640000</v>
      </c>
      <c r="S13">
        <v>0.5</v>
      </c>
      <c r="T13">
        <v>320000</v>
      </c>
      <c r="U13">
        <v>100000</v>
      </c>
      <c r="V13">
        <v>220000</v>
      </c>
      <c r="W13">
        <v>2027</v>
      </c>
      <c r="X13" t="s">
        <v>155</v>
      </c>
    </row>
    <row r="14" spans="1:25">
      <c r="B14">
        <v>230008</v>
      </c>
      <c r="C14" t="s">
        <v>177</v>
      </c>
      <c r="D14" t="s">
        <v>150</v>
      </c>
      <c r="E14" t="s">
        <v>151</v>
      </c>
      <c r="F14" t="s">
        <v>178</v>
      </c>
      <c r="G14" t="s">
        <v>239</v>
      </c>
      <c r="H14" t="s">
        <v>104</v>
      </c>
      <c r="I14" t="s">
        <v>230</v>
      </c>
      <c r="J14" t="s">
        <v>231</v>
      </c>
      <c r="K14" t="s">
        <v>232</v>
      </c>
      <c r="L14">
        <v>1400000</v>
      </c>
      <c r="M14">
        <v>100000</v>
      </c>
      <c r="N14">
        <v>1300000</v>
      </c>
      <c r="O14">
        <v>660000</v>
      </c>
      <c r="P14">
        <v>1</v>
      </c>
      <c r="Q14">
        <v>660000</v>
      </c>
      <c r="R14">
        <v>660000</v>
      </c>
      <c r="S14">
        <v>0.5</v>
      </c>
      <c r="T14">
        <v>330000</v>
      </c>
      <c r="U14">
        <v>100000</v>
      </c>
      <c r="V14">
        <v>230000</v>
      </c>
      <c r="W14">
        <v>2027</v>
      </c>
      <c r="X14" t="s">
        <v>155</v>
      </c>
    </row>
    <row r="15" spans="1:25">
      <c r="B15">
        <v>230009</v>
      </c>
      <c r="C15" t="s">
        <v>180</v>
      </c>
      <c r="D15" t="s">
        <v>150</v>
      </c>
      <c r="E15" t="s">
        <v>151</v>
      </c>
      <c r="F15" t="s">
        <v>181</v>
      </c>
      <c r="G15" t="s">
        <v>240</v>
      </c>
      <c r="H15" t="s">
        <v>104</v>
      </c>
      <c r="I15" t="s">
        <v>230</v>
      </c>
      <c r="J15" t="s">
        <v>231</v>
      </c>
      <c r="K15" t="s">
        <v>232</v>
      </c>
      <c r="L15">
        <v>1450000</v>
      </c>
      <c r="M15">
        <v>100000</v>
      </c>
      <c r="N15">
        <v>1350000</v>
      </c>
      <c r="O15">
        <v>680000</v>
      </c>
      <c r="P15">
        <v>1</v>
      </c>
      <c r="Q15">
        <v>680000</v>
      </c>
      <c r="R15">
        <v>680000</v>
      </c>
      <c r="S15">
        <v>0.5</v>
      </c>
      <c r="T15">
        <v>340000</v>
      </c>
      <c r="U15">
        <v>100000</v>
      </c>
      <c r="V15">
        <v>240000</v>
      </c>
      <c r="W15">
        <v>2027</v>
      </c>
      <c r="X15" t="s">
        <v>155</v>
      </c>
    </row>
    <row r="16" spans="1:25">
      <c r="B16">
        <v>230010</v>
      </c>
      <c r="C16" t="s">
        <v>183</v>
      </c>
      <c r="D16" t="s">
        <v>150</v>
      </c>
      <c r="E16" t="s">
        <v>151</v>
      </c>
      <c r="F16" t="s">
        <v>184</v>
      </c>
      <c r="G16" t="s">
        <v>241</v>
      </c>
      <c r="H16" t="s">
        <v>104</v>
      </c>
      <c r="I16" t="s">
        <v>230</v>
      </c>
      <c r="J16" t="s">
        <v>231</v>
      </c>
      <c r="K16" t="s">
        <v>232</v>
      </c>
      <c r="L16">
        <v>1500000</v>
      </c>
      <c r="M16">
        <v>100000</v>
      </c>
      <c r="N16">
        <v>1400000</v>
      </c>
      <c r="O16">
        <v>700000</v>
      </c>
      <c r="P16">
        <v>1</v>
      </c>
      <c r="Q16">
        <v>700000</v>
      </c>
      <c r="R16">
        <v>700000</v>
      </c>
      <c r="S16">
        <v>0.5</v>
      </c>
      <c r="T16">
        <v>350000</v>
      </c>
      <c r="U16">
        <v>100000</v>
      </c>
      <c r="V16">
        <v>250000</v>
      </c>
      <c r="W16">
        <v>2027</v>
      </c>
      <c r="X16" t="s">
        <v>155</v>
      </c>
    </row>
    <row r="17" spans="2:24">
      <c r="B17">
        <v>130001</v>
      </c>
      <c r="C17" t="s">
        <v>186</v>
      </c>
      <c r="D17" t="s">
        <v>150</v>
      </c>
      <c r="E17" t="s">
        <v>187</v>
      </c>
      <c r="F17" t="s">
        <v>188</v>
      </c>
      <c r="G17" t="s">
        <v>229</v>
      </c>
      <c r="H17" t="s">
        <v>104</v>
      </c>
      <c r="I17" t="s">
        <v>230</v>
      </c>
      <c r="J17" t="s">
        <v>231</v>
      </c>
      <c r="K17" t="s">
        <v>232</v>
      </c>
      <c r="L17">
        <v>1050000</v>
      </c>
      <c r="M17">
        <v>100000</v>
      </c>
      <c r="N17">
        <v>950000</v>
      </c>
      <c r="O17">
        <v>520000</v>
      </c>
      <c r="P17">
        <v>1</v>
      </c>
      <c r="Q17">
        <v>520000</v>
      </c>
      <c r="R17">
        <v>520000</v>
      </c>
      <c r="S17">
        <v>0.5</v>
      </c>
      <c r="T17">
        <v>260000</v>
      </c>
      <c r="U17">
        <v>100000</v>
      </c>
      <c r="V17">
        <v>160000</v>
      </c>
      <c r="W17">
        <v>2027</v>
      </c>
      <c r="X17" t="s">
        <v>155</v>
      </c>
    </row>
    <row r="18" spans="2:24">
      <c r="B18">
        <v>130002</v>
      </c>
      <c r="C18" t="s">
        <v>189</v>
      </c>
      <c r="D18" t="s">
        <v>150</v>
      </c>
      <c r="E18" t="s">
        <v>187</v>
      </c>
      <c r="F18" t="s">
        <v>190</v>
      </c>
      <c r="G18" t="s">
        <v>233</v>
      </c>
      <c r="H18" t="s">
        <v>104</v>
      </c>
      <c r="I18" t="s">
        <v>230</v>
      </c>
      <c r="J18" t="s">
        <v>231</v>
      </c>
      <c r="K18" t="s">
        <v>232</v>
      </c>
      <c r="L18">
        <v>1100000</v>
      </c>
      <c r="M18">
        <v>100000</v>
      </c>
      <c r="N18">
        <v>1000000</v>
      </c>
      <c r="O18">
        <v>540000</v>
      </c>
      <c r="P18">
        <v>1</v>
      </c>
      <c r="Q18">
        <v>540000</v>
      </c>
      <c r="R18">
        <v>540000</v>
      </c>
      <c r="S18">
        <v>0.5</v>
      </c>
      <c r="T18">
        <v>270000</v>
      </c>
      <c r="U18">
        <v>100000</v>
      </c>
      <c r="V18">
        <v>170000</v>
      </c>
      <c r="W18">
        <v>2027</v>
      </c>
      <c r="X18" t="s">
        <v>155</v>
      </c>
    </row>
    <row r="19" spans="2:24">
      <c r="B19">
        <v>130003</v>
      </c>
      <c r="C19" t="s">
        <v>191</v>
      </c>
      <c r="D19" t="s">
        <v>150</v>
      </c>
      <c r="E19" t="s">
        <v>187</v>
      </c>
      <c r="F19" t="s">
        <v>192</v>
      </c>
      <c r="G19" t="s">
        <v>234</v>
      </c>
      <c r="H19" t="s">
        <v>104</v>
      </c>
      <c r="I19" t="s">
        <v>230</v>
      </c>
      <c r="J19" t="s">
        <v>231</v>
      </c>
      <c r="K19" t="s">
        <v>232</v>
      </c>
      <c r="L19">
        <v>1150000</v>
      </c>
      <c r="M19">
        <v>100000</v>
      </c>
      <c r="N19">
        <v>1050000</v>
      </c>
      <c r="O19">
        <v>560000</v>
      </c>
      <c r="P19">
        <v>1</v>
      </c>
      <c r="Q19">
        <v>560000</v>
      </c>
      <c r="R19">
        <v>560000</v>
      </c>
      <c r="S19">
        <v>0.5</v>
      </c>
      <c r="T19">
        <v>280000</v>
      </c>
      <c r="U19">
        <v>100000</v>
      </c>
      <c r="V19">
        <v>180000</v>
      </c>
      <c r="W19">
        <v>2027</v>
      </c>
      <c r="X19" t="s">
        <v>155</v>
      </c>
    </row>
    <row r="20" spans="2:24">
      <c r="B20">
        <v>130004</v>
      </c>
      <c r="C20" t="s">
        <v>193</v>
      </c>
      <c r="D20" t="s">
        <v>150</v>
      </c>
      <c r="E20" t="s">
        <v>187</v>
      </c>
      <c r="F20" t="s">
        <v>194</v>
      </c>
      <c r="G20" t="s">
        <v>235</v>
      </c>
      <c r="H20" t="s">
        <v>104</v>
      </c>
      <c r="I20" t="s">
        <v>230</v>
      </c>
      <c r="J20" t="s">
        <v>231</v>
      </c>
      <c r="K20" t="s">
        <v>232</v>
      </c>
      <c r="L20">
        <v>1200000</v>
      </c>
      <c r="M20">
        <v>100000</v>
      </c>
      <c r="N20">
        <v>1100000</v>
      </c>
      <c r="O20">
        <v>580000</v>
      </c>
      <c r="P20">
        <v>1</v>
      </c>
      <c r="Q20">
        <v>580000</v>
      </c>
      <c r="R20">
        <v>580000</v>
      </c>
      <c r="S20">
        <v>0.5</v>
      </c>
      <c r="T20">
        <v>290000</v>
      </c>
      <c r="U20">
        <v>100000</v>
      </c>
      <c r="V20">
        <v>190000</v>
      </c>
      <c r="W20">
        <v>2027</v>
      </c>
      <c r="X20" t="s">
        <v>155</v>
      </c>
    </row>
    <row r="21" spans="2:24">
      <c r="B21">
        <v>130005</v>
      </c>
      <c r="C21" t="s">
        <v>195</v>
      </c>
      <c r="D21" t="s">
        <v>150</v>
      </c>
      <c r="E21" t="s">
        <v>187</v>
      </c>
      <c r="F21" t="s">
        <v>196</v>
      </c>
      <c r="G21" t="s">
        <v>236</v>
      </c>
      <c r="H21" t="s">
        <v>104</v>
      </c>
      <c r="I21" t="s">
        <v>230</v>
      </c>
      <c r="J21" t="s">
        <v>231</v>
      </c>
      <c r="K21" t="s">
        <v>232</v>
      </c>
      <c r="L21">
        <v>1250000</v>
      </c>
      <c r="M21">
        <v>100000</v>
      </c>
      <c r="N21">
        <v>1150000</v>
      </c>
      <c r="O21">
        <v>600000</v>
      </c>
      <c r="P21">
        <v>1</v>
      </c>
      <c r="Q21">
        <v>600000</v>
      </c>
      <c r="R21">
        <v>600000</v>
      </c>
      <c r="S21">
        <v>0.5</v>
      </c>
      <c r="T21">
        <v>300000</v>
      </c>
      <c r="U21">
        <v>100000</v>
      </c>
      <c r="V21">
        <v>200000</v>
      </c>
      <c r="W21">
        <v>2027</v>
      </c>
      <c r="X21" t="s">
        <v>155</v>
      </c>
    </row>
    <row r="22" spans="2:24">
      <c r="B22">
        <v>130006</v>
      </c>
      <c r="C22" t="s">
        <v>197</v>
      </c>
      <c r="D22" t="s">
        <v>150</v>
      </c>
      <c r="E22" t="s">
        <v>187</v>
      </c>
      <c r="F22" t="s">
        <v>198</v>
      </c>
      <c r="G22" t="s">
        <v>237</v>
      </c>
      <c r="H22" t="s">
        <v>104</v>
      </c>
      <c r="I22" t="s">
        <v>230</v>
      </c>
      <c r="J22" t="s">
        <v>231</v>
      </c>
      <c r="K22" t="s">
        <v>232</v>
      </c>
      <c r="L22">
        <v>1300000</v>
      </c>
      <c r="M22">
        <v>100000</v>
      </c>
      <c r="N22">
        <v>1200000</v>
      </c>
      <c r="O22">
        <v>620000</v>
      </c>
      <c r="P22">
        <v>1</v>
      </c>
      <c r="Q22">
        <v>620000</v>
      </c>
      <c r="R22">
        <v>620000</v>
      </c>
      <c r="S22">
        <v>0.5</v>
      </c>
      <c r="T22">
        <v>310000</v>
      </c>
      <c r="U22">
        <v>100000</v>
      </c>
      <c r="V22">
        <v>210000</v>
      </c>
      <c r="W22">
        <v>2027</v>
      </c>
      <c r="X22" t="s">
        <v>155</v>
      </c>
    </row>
    <row r="23" spans="2:24">
      <c r="B23">
        <v>130007</v>
      </c>
      <c r="C23" t="s">
        <v>199</v>
      </c>
      <c r="D23" t="s">
        <v>150</v>
      </c>
      <c r="E23" t="s">
        <v>187</v>
      </c>
      <c r="F23" t="s">
        <v>200</v>
      </c>
      <c r="G23" t="s">
        <v>238</v>
      </c>
      <c r="H23" t="s">
        <v>104</v>
      </c>
      <c r="I23" t="s">
        <v>230</v>
      </c>
      <c r="J23" t="s">
        <v>231</v>
      </c>
      <c r="K23" t="s">
        <v>232</v>
      </c>
      <c r="L23">
        <v>1350000</v>
      </c>
      <c r="M23">
        <v>100000</v>
      </c>
      <c r="N23">
        <v>1250000</v>
      </c>
      <c r="O23">
        <v>640000</v>
      </c>
      <c r="P23">
        <v>1</v>
      </c>
      <c r="Q23">
        <v>640000</v>
      </c>
      <c r="R23">
        <v>640000</v>
      </c>
      <c r="S23">
        <v>0.5</v>
      </c>
      <c r="T23">
        <v>320000</v>
      </c>
      <c r="U23">
        <v>100000</v>
      </c>
      <c r="V23">
        <v>220000</v>
      </c>
      <c r="W23">
        <v>2027</v>
      </c>
      <c r="X23" t="s">
        <v>155</v>
      </c>
    </row>
    <row r="24" spans="2:24">
      <c r="B24">
        <v>130008</v>
      </c>
      <c r="C24" t="s">
        <v>201</v>
      </c>
      <c r="D24" t="s">
        <v>150</v>
      </c>
      <c r="E24" t="s">
        <v>187</v>
      </c>
      <c r="F24" t="s">
        <v>202</v>
      </c>
      <c r="G24" t="s">
        <v>239</v>
      </c>
      <c r="H24" t="s">
        <v>104</v>
      </c>
      <c r="I24" t="s">
        <v>230</v>
      </c>
      <c r="J24" t="s">
        <v>231</v>
      </c>
      <c r="K24" t="s">
        <v>232</v>
      </c>
      <c r="L24">
        <v>1400000</v>
      </c>
      <c r="M24">
        <v>100000</v>
      </c>
      <c r="N24">
        <v>1300000</v>
      </c>
      <c r="O24">
        <v>660000</v>
      </c>
      <c r="P24">
        <v>1</v>
      </c>
      <c r="Q24">
        <v>660000</v>
      </c>
      <c r="R24">
        <v>660000</v>
      </c>
      <c r="S24">
        <v>0.5</v>
      </c>
      <c r="T24">
        <v>330000</v>
      </c>
      <c r="U24">
        <v>100000</v>
      </c>
      <c r="V24">
        <v>230000</v>
      </c>
      <c r="W24">
        <v>2027</v>
      </c>
      <c r="X24" t="s">
        <v>155</v>
      </c>
    </row>
    <row r="25" spans="2:24">
      <c r="B25">
        <v>130009</v>
      </c>
      <c r="C25" t="s">
        <v>203</v>
      </c>
      <c r="D25" t="s">
        <v>150</v>
      </c>
      <c r="E25" t="s">
        <v>187</v>
      </c>
      <c r="F25" t="s">
        <v>204</v>
      </c>
      <c r="G25" t="s">
        <v>240</v>
      </c>
      <c r="H25" t="s">
        <v>104</v>
      </c>
      <c r="I25" t="s">
        <v>230</v>
      </c>
      <c r="J25" t="s">
        <v>231</v>
      </c>
      <c r="K25" t="s">
        <v>232</v>
      </c>
      <c r="L25">
        <v>1450000</v>
      </c>
      <c r="M25">
        <v>100000</v>
      </c>
      <c r="N25">
        <v>1350000</v>
      </c>
      <c r="O25">
        <v>680000</v>
      </c>
      <c r="P25">
        <v>1</v>
      </c>
      <c r="Q25">
        <v>680000</v>
      </c>
      <c r="R25">
        <v>680000</v>
      </c>
      <c r="S25">
        <v>0.5</v>
      </c>
      <c r="T25">
        <v>340000</v>
      </c>
      <c r="U25">
        <v>100000</v>
      </c>
      <c r="V25">
        <v>240000</v>
      </c>
      <c r="W25">
        <v>2027</v>
      </c>
      <c r="X25" t="s">
        <v>155</v>
      </c>
    </row>
    <row r="26" spans="2:24">
      <c r="B26">
        <v>130010</v>
      </c>
      <c r="C26" t="s">
        <v>205</v>
      </c>
      <c r="D26" t="s">
        <v>150</v>
      </c>
      <c r="E26" t="s">
        <v>187</v>
      </c>
      <c r="F26" t="s">
        <v>206</v>
      </c>
      <c r="G26" t="s">
        <v>241</v>
      </c>
      <c r="H26" t="s">
        <v>104</v>
      </c>
      <c r="I26" t="s">
        <v>230</v>
      </c>
      <c r="J26" t="s">
        <v>231</v>
      </c>
      <c r="K26" t="s">
        <v>232</v>
      </c>
      <c r="L26">
        <v>1500000</v>
      </c>
      <c r="M26">
        <v>100000</v>
      </c>
      <c r="N26">
        <v>1400000</v>
      </c>
      <c r="O26">
        <v>700000</v>
      </c>
      <c r="P26">
        <v>1</v>
      </c>
      <c r="Q26">
        <v>700000</v>
      </c>
      <c r="R26">
        <v>700000</v>
      </c>
      <c r="S26">
        <v>0.5</v>
      </c>
      <c r="T26">
        <v>350000</v>
      </c>
      <c r="U26">
        <v>100000</v>
      </c>
      <c r="V26">
        <v>250000</v>
      </c>
      <c r="W26">
        <v>2027</v>
      </c>
      <c r="X26" t="s">
        <v>155</v>
      </c>
    </row>
    <row r="27" spans="2:24">
      <c r="B27">
        <v>270001</v>
      </c>
      <c r="C27" t="s">
        <v>207</v>
      </c>
      <c r="D27" t="s">
        <v>150</v>
      </c>
      <c r="E27" t="s">
        <v>208</v>
      </c>
      <c r="F27" t="s">
        <v>209</v>
      </c>
      <c r="G27" t="s">
        <v>229</v>
      </c>
      <c r="H27" t="s">
        <v>104</v>
      </c>
      <c r="I27" t="s">
        <v>230</v>
      </c>
      <c r="J27" t="s">
        <v>231</v>
      </c>
      <c r="K27" t="s">
        <v>232</v>
      </c>
      <c r="L27">
        <v>1050000</v>
      </c>
      <c r="M27">
        <v>100000</v>
      </c>
      <c r="N27">
        <v>950000</v>
      </c>
      <c r="O27">
        <v>520000</v>
      </c>
      <c r="P27">
        <v>1</v>
      </c>
      <c r="Q27">
        <v>520000</v>
      </c>
      <c r="R27">
        <v>520000</v>
      </c>
      <c r="S27">
        <v>0.5</v>
      </c>
      <c r="T27">
        <v>260000</v>
      </c>
      <c r="U27">
        <v>100000</v>
      </c>
      <c r="V27">
        <v>160000</v>
      </c>
      <c r="W27">
        <v>2027</v>
      </c>
      <c r="X27" t="s">
        <v>155</v>
      </c>
    </row>
    <row r="28" spans="2:24">
      <c r="B28">
        <v>270002</v>
      </c>
      <c r="C28" t="s">
        <v>210</v>
      </c>
      <c r="D28" t="s">
        <v>150</v>
      </c>
      <c r="E28" t="s">
        <v>208</v>
      </c>
      <c r="F28" t="s">
        <v>211</v>
      </c>
      <c r="G28" t="s">
        <v>233</v>
      </c>
      <c r="H28" t="s">
        <v>104</v>
      </c>
      <c r="I28" t="s">
        <v>230</v>
      </c>
      <c r="J28" t="s">
        <v>231</v>
      </c>
      <c r="K28" t="s">
        <v>232</v>
      </c>
      <c r="L28">
        <v>1100000</v>
      </c>
      <c r="M28">
        <v>100000</v>
      </c>
      <c r="N28">
        <v>1000000</v>
      </c>
      <c r="O28">
        <v>540000</v>
      </c>
      <c r="P28">
        <v>1</v>
      </c>
      <c r="Q28">
        <v>540000</v>
      </c>
      <c r="R28">
        <v>540000</v>
      </c>
      <c r="S28">
        <v>0.5</v>
      </c>
      <c r="T28">
        <v>270000</v>
      </c>
      <c r="U28">
        <v>100000</v>
      </c>
      <c r="V28">
        <v>170000</v>
      </c>
      <c r="W28">
        <v>2027</v>
      </c>
      <c r="X28" t="s">
        <v>155</v>
      </c>
    </row>
    <row r="29" spans="2:24">
      <c r="B29">
        <v>270003</v>
      </c>
      <c r="C29" t="s">
        <v>212</v>
      </c>
      <c r="D29" t="s">
        <v>150</v>
      </c>
      <c r="E29" t="s">
        <v>208</v>
      </c>
      <c r="F29" t="s">
        <v>213</v>
      </c>
      <c r="G29" t="s">
        <v>234</v>
      </c>
      <c r="H29" t="s">
        <v>104</v>
      </c>
      <c r="I29" t="s">
        <v>230</v>
      </c>
      <c r="J29" t="s">
        <v>231</v>
      </c>
      <c r="K29" t="s">
        <v>232</v>
      </c>
      <c r="L29">
        <v>1150000</v>
      </c>
      <c r="M29">
        <v>100000</v>
      </c>
      <c r="N29">
        <v>1050000</v>
      </c>
      <c r="O29">
        <v>560000</v>
      </c>
      <c r="P29">
        <v>1</v>
      </c>
      <c r="Q29">
        <v>560000</v>
      </c>
      <c r="R29">
        <v>560000</v>
      </c>
      <c r="S29">
        <v>0.5</v>
      </c>
      <c r="T29">
        <v>280000</v>
      </c>
      <c r="U29">
        <v>100000</v>
      </c>
      <c r="V29">
        <v>180000</v>
      </c>
      <c r="W29">
        <v>2027</v>
      </c>
      <c r="X29" t="s">
        <v>155</v>
      </c>
    </row>
    <row r="30" spans="2:24">
      <c r="B30">
        <v>270004</v>
      </c>
      <c r="C30" t="s">
        <v>214</v>
      </c>
      <c r="D30" t="s">
        <v>150</v>
      </c>
      <c r="E30" t="s">
        <v>208</v>
      </c>
      <c r="F30" t="s">
        <v>215</v>
      </c>
      <c r="G30" t="s">
        <v>235</v>
      </c>
      <c r="H30" t="s">
        <v>104</v>
      </c>
      <c r="I30" t="s">
        <v>230</v>
      </c>
      <c r="J30" t="s">
        <v>231</v>
      </c>
      <c r="K30" t="s">
        <v>232</v>
      </c>
      <c r="L30">
        <v>1200000</v>
      </c>
      <c r="M30">
        <v>100000</v>
      </c>
      <c r="N30">
        <v>1100000</v>
      </c>
      <c r="O30">
        <v>580000</v>
      </c>
      <c r="P30">
        <v>1</v>
      </c>
      <c r="Q30">
        <v>580000</v>
      </c>
      <c r="R30">
        <v>580000</v>
      </c>
      <c r="S30">
        <v>0.5</v>
      </c>
      <c r="T30">
        <v>290000</v>
      </c>
      <c r="U30">
        <v>100000</v>
      </c>
      <c r="V30">
        <v>190000</v>
      </c>
      <c r="W30">
        <v>2027</v>
      </c>
      <c r="X30" t="s">
        <v>155</v>
      </c>
    </row>
    <row r="31" spans="2:24">
      <c r="B31">
        <v>270005</v>
      </c>
      <c r="C31" t="s">
        <v>216</v>
      </c>
      <c r="D31" t="s">
        <v>150</v>
      </c>
      <c r="E31" t="s">
        <v>208</v>
      </c>
      <c r="F31" t="s">
        <v>217</v>
      </c>
      <c r="G31" t="s">
        <v>236</v>
      </c>
      <c r="H31" t="s">
        <v>104</v>
      </c>
      <c r="I31" t="s">
        <v>230</v>
      </c>
      <c r="J31" t="s">
        <v>231</v>
      </c>
      <c r="K31" t="s">
        <v>232</v>
      </c>
      <c r="L31">
        <v>1250000</v>
      </c>
      <c r="M31">
        <v>100000</v>
      </c>
      <c r="N31">
        <v>1150000</v>
      </c>
      <c r="O31">
        <v>600000</v>
      </c>
      <c r="P31">
        <v>1</v>
      </c>
      <c r="Q31">
        <v>600000</v>
      </c>
      <c r="R31">
        <v>600000</v>
      </c>
      <c r="S31">
        <v>0.5</v>
      </c>
      <c r="T31">
        <v>300000</v>
      </c>
      <c r="U31">
        <v>100000</v>
      </c>
      <c r="V31">
        <v>200000</v>
      </c>
      <c r="W31">
        <v>2027</v>
      </c>
      <c r="X31" t="s">
        <v>155</v>
      </c>
    </row>
    <row r="32" spans="2:24">
      <c r="B32">
        <v>270006</v>
      </c>
      <c r="C32" t="s">
        <v>218</v>
      </c>
      <c r="D32" t="s">
        <v>150</v>
      </c>
      <c r="E32" t="s">
        <v>208</v>
      </c>
      <c r="F32" t="s">
        <v>219</v>
      </c>
      <c r="G32" t="s">
        <v>237</v>
      </c>
      <c r="H32" t="s">
        <v>104</v>
      </c>
      <c r="I32" t="s">
        <v>230</v>
      </c>
      <c r="J32" t="s">
        <v>231</v>
      </c>
      <c r="K32" t="s">
        <v>232</v>
      </c>
      <c r="L32">
        <v>1300000</v>
      </c>
      <c r="M32">
        <v>100000</v>
      </c>
      <c r="N32">
        <v>1200000</v>
      </c>
      <c r="O32">
        <v>620000</v>
      </c>
      <c r="P32">
        <v>1</v>
      </c>
      <c r="Q32">
        <v>620000</v>
      </c>
      <c r="R32">
        <v>620000</v>
      </c>
      <c r="S32">
        <v>0.5</v>
      </c>
      <c r="T32">
        <v>310000</v>
      </c>
      <c r="U32">
        <v>100000</v>
      </c>
      <c r="V32">
        <v>210000</v>
      </c>
      <c r="W32">
        <v>2027</v>
      </c>
      <c r="X32" t="s">
        <v>155</v>
      </c>
    </row>
    <row r="33" spans="2:24">
      <c r="B33">
        <v>270007</v>
      </c>
      <c r="C33" t="s">
        <v>220</v>
      </c>
      <c r="D33" t="s">
        <v>150</v>
      </c>
      <c r="E33" t="s">
        <v>208</v>
      </c>
      <c r="F33" t="s">
        <v>221</v>
      </c>
      <c r="G33" t="s">
        <v>238</v>
      </c>
      <c r="H33" t="s">
        <v>104</v>
      </c>
      <c r="I33" t="s">
        <v>230</v>
      </c>
      <c r="J33" t="s">
        <v>231</v>
      </c>
      <c r="K33" t="s">
        <v>232</v>
      </c>
      <c r="L33">
        <v>1350000</v>
      </c>
      <c r="M33">
        <v>100000</v>
      </c>
      <c r="N33">
        <v>1250000</v>
      </c>
      <c r="O33">
        <v>640000</v>
      </c>
      <c r="P33">
        <v>1</v>
      </c>
      <c r="Q33">
        <v>640000</v>
      </c>
      <c r="R33">
        <v>640000</v>
      </c>
      <c r="S33">
        <v>0.5</v>
      </c>
      <c r="T33">
        <v>320000</v>
      </c>
      <c r="U33">
        <v>100000</v>
      </c>
      <c r="V33">
        <v>220000</v>
      </c>
      <c r="W33">
        <v>2027</v>
      </c>
      <c r="X33" t="s">
        <v>155</v>
      </c>
    </row>
    <row r="34" spans="2:24">
      <c r="B34">
        <v>270008</v>
      </c>
      <c r="C34" t="s">
        <v>222</v>
      </c>
      <c r="D34" t="s">
        <v>150</v>
      </c>
      <c r="E34" t="s">
        <v>208</v>
      </c>
      <c r="F34" t="s">
        <v>223</v>
      </c>
      <c r="G34" t="s">
        <v>239</v>
      </c>
      <c r="H34" t="s">
        <v>104</v>
      </c>
      <c r="I34" t="s">
        <v>230</v>
      </c>
      <c r="J34" t="s">
        <v>231</v>
      </c>
      <c r="K34" t="s">
        <v>232</v>
      </c>
      <c r="L34">
        <v>1400000</v>
      </c>
      <c r="M34">
        <v>100000</v>
      </c>
      <c r="N34">
        <v>1300000</v>
      </c>
      <c r="O34">
        <v>660000</v>
      </c>
      <c r="P34">
        <v>1</v>
      </c>
      <c r="Q34">
        <v>660000</v>
      </c>
      <c r="R34">
        <v>660000</v>
      </c>
      <c r="S34">
        <v>0.5</v>
      </c>
      <c r="T34">
        <v>330000</v>
      </c>
      <c r="U34">
        <v>100000</v>
      </c>
      <c r="V34">
        <v>230000</v>
      </c>
      <c r="W34">
        <v>2027</v>
      </c>
      <c r="X34" t="s">
        <v>155</v>
      </c>
    </row>
    <row r="35" spans="2:24">
      <c r="B35">
        <v>270009</v>
      </c>
      <c r="C35" t="s">
        <v>224</v>
      </c>
      <c r="D35" t="s">
        <v>150</v>
      </c>
      <c r="E35" t="s">
        <v>208</v>
      </c>
      <c r="F35" t="s">
        <v>225</v>
      </c>
      <c r="G35" t="s">
        <v>240</v>
      </c>
      <c r="H35" t="s">
        <v>104</v>
      </c>
      <c r="I35" t="s">
        <v>230</v>
      </c>
      <c r="J35" t="s">
        <v>231</v>
      </c>
      <c r="K35" t="s">
        <v>232</v>
      </c>
      <c r="L35">
        <v>1450000</v>
      </c>
      <c r="M35">
        <v>100000</v>
      </c>
      <c r="N35">
        <v>1350000</v>
      </c>
      <c r="O35">
        <v>680000</v>
      </c>
      <c r="P35">
        <v>1</v>
      </c>
      <c r="Q35">
        <v>680000</v>
      </c>
      <c r="R35">
        <v>680000</v>
      </c>
      <c r="S35">
        <v>0.5</v>
      </c>
      <c r="T35">
        <v>340000</v>
      </c>
      <c r="U35">
        <v>100000</v>
      </c>
      <c r="V35">
        <v>240000</v>
      </c>
      <c r="W35">
        <v>2027</v>
      </c>
      <c r="X35" t="s">
        <v>155</v>
      </c>
    </row>
    <row r="36" spans="2:24">
      <c r="B36">
        <v>270010</v>
      </c>
      <c r="C36" t="s">
        <v>226</v>
      </c>
      <c r="D36" t="s">
        <v>150</v>
      </c>
      <c r="E36" t="s">
        <v>208</v>
      </c>
      <c r="F36" t="s">
        <v>227</v>
      </c>
      <c r="G36" t="s">
        <v>241</v>
      </c>
      <c r="H36" t="s">
        <v>104</v>
      </c>
      <c r="I36" t="s">
        <v>230</v>
      </c>
      <c r="J36" t="s">
        <v>231</v>
      </c>
      <c r="K36" t="s">
        <v>232</v>
      </c>
      <c r="L36">
        <v>1500000</v>
      </c>
      <c r="M36">
        <v>100000</v>
      </c>
      <c r="N36">
        <v>1400000</v>
      </c>
      <c r="O36">
        <v>700000</v>
      </c>
      <c r="P36">
        <v>1</v>
      </c>
      <c r="Q36">
        <v>700000</v>
      </c>
      <c r="R36">
        <v>700000</v>
      </c>
      <c r="S36">
        <v>0.5</v>
      </c>
      <c r="T36">
        <v>350000</v>
      </c>
      <c r="U36">
        <v>100000</v>
      </c>
      <c r="V36">
        <v>250000</v>
      </c>
      <c r="W36">
        <v>2027</v>
      </c>
      <c r="X36" t="s">
        <v>155</v>
      </c>
    </row>
  </sheetData>
  <mergeCells count="25">
    <mergeCell ref="Y4:Y6"/>
    <mergeCell ref="D4:D6"/>
    <mergeCell ref="E4:E6"/>
    <mergeCell ref="F4:F6"/>
    <mergeCell ref="G4:G6"/>
    <mergeCell ref="H4:H6"/>
    <mergeCell ref="I4:I6"/>
    <mergeCell ref="J4:J6"/>
    <mergeCell ref="L4:L5"/>
    <mergeCell ref="M4:M5"/>
    <mergeCell ref="N4:N5"/>
    <mergeCell ref="U4:U5"/>
    <mergeCell ref="V4:V5"/>
    <mergeCell ref="R4:R5"/>
    <mergeCell ref="S4:S5"/>
    <mergeCell ref="T4:T5"/>
    <mergeCell ref="W4:W6"/>
    <mergeCell ref="X4:X6"/>
    <mergeCell ref="A4:A6"/>
    <mergeCell ref="O4:O5"/>
    <mergeCell ref="P4:P5"/>
    <mergeCell ref="Q4:Q5"/>
    <mergeCell ref="B4:B6"/>
    <mergeCell ref="C4:C6"/>
    <mergeCell ref="K4:K6"/>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39714-3D38-4D53-B311-79694F3E8592}">
  <sheetPr codeName="Sheet4">
    <tabColor rgb="FFFFC000"/>
  </sheetPr>
  <dimension ref="A1:M36"/>
  <sheetViews>
    <sheetView tabSelected="1" topLeftCell="A24" zoomScaleNormal="100" workbookViewId="0">
      <selection activeCell="F36" sqref="F36"/>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90</v>
      </c>
      <c r="B1" s="1"/>
      <c r="C1" s="1"/>
      <c r="D1" s="1"/>
    </row>
    <row r="2" spans="1:13" s="2" customFormat="1">
      <c r="B2" s="1"/>
      <c r="D2" s="1"/>
    </row>
    <row r="3" spans="1:13" s="2" customFormat="1" ht="18.5" thickBot="1">
      <c r="A3" s="2" t="s">
        <v>69</v>
      </c>
      <c r="B3" s="27"/>
      <c r="C3" s="2" t="s">
        <v>70</v>
      </c>
      <c r="M3" s="4" t="s">
        <v>98</v>
      </c>
    </row>
    <row r="4" spans="1:13" s="2" customFormat="1" ht="33.75" customHeight="1">
      <c r="A4" s="142" t="s">
        <v>87</v>
      </c>
      <c r="B4" s="138" t="s">
        <v>71</v>
      </c>
      <c r="C4" s="160" t="s">
        <v>66</v>
      </c>
      <c r="D4" s="149" t="s">
        <v>79</v>
      </c>
      <c r="E4" s="138" t="s">
        <v>72</v>
      </c>
      <c r="F4" s="138" t="s">
        <v>68</v>
      </c>
      <c r="G4" s="149" t="s">
        <v>80</v>
      </c>
      <c r="H4" s="149" t="s">
        <v>81</v>
      </c>
      <c r="I4" s="149" t="s">
        <v>146</v>
      </c>
      <c r="J4" s="149" t="s">
        <v>147</v>
      </c>
      <c r="K4" s="149" t="s">
        <v>101</v>
      </c>
      <c r="L4" s="149" t="s">
        <v>84</v>
      </c>
      <c r="M4" s="156" t="s">
        <v>85</v>
      </c>
    </row>
    <row r="5" spans="1:13" s="2" customFormat="1" ht="18.5" thickBot="1">
      <c r="A5" s="143"/>
      <c r="B5" s="139"/>
      <c r="C5" s="161"/>
      <c r="D5" s="150"/>
      <c r="E5" s="139"/>
      <c r="F5" s="139"/>
      <c r="G5" s="150"/>
      <c r="H5" s="150"/>
      <c r="I5" s="159"/>
      <c r="J5" s="159"/>
      <c r="K5" s="159"/>
      <c r="L5" s="150"/>
      <c r="M5" s="157"/>
    </row>
    <row r="6" spans="1:13" s="2" customFormat="1" ht="18.5" thickBot="1">
      <c r="A6" s="144"/>
      <c r="B6" s="141"/>
      <c r="C6" s="162"/>
      <c r="D6" s="159"/>
      <c r="E6" s="141"/>
      <c r="F6" s="141"/>
      <c r="G6" s="159"/>
      <c r="H6" s="151"/>
      <c r="I6" s="100">
        <f>SUM(I7:I1243)</f>
        <v>12300000</v>
      </c>
      <c r="J6" s="102">
        <f>SUM(J7:J1243)</f>
        <v>7650000</v>
      </c>
      <c r="K6" s="101">
        <f>SUM(K7:K1243)</f>
        <v>-4650000</v>
      </c>
      <c r="L6" s="155"/>
      <c r="M6" s="158"/>
    </row>
    <row r="7" spans="1:13">
      <c r="B7">
        <v>230001</v>
      </c>
      <c r="C7" t="s">
        <v>149</v>
      </c>
      <c r="D7" t="s">
        <v>150</v>
      </c>
      <c r="E7" t="s">
        <v>151</v>
      </c>
      <c r="F7" t="s">
        <v>152</v>
      </c>
      <c r="G7" t="s">
        <v>153</v>
      </c>
      <c r="H7" t="s">
        <v>228</v>
      </c>
      <c r="I7">
        <v>320000</v>
      </c>
      <c r="J7">
        <v>210000</v>
      </c>
      <c r="K7">
        <v>-110000</v>
      </c>
      <c r="L7" t="s">
        <v>155</v>
      </c>
    </row>
    <row r="8" spans="1:13">
      <c r="B8">
        <v>230002</v>
      </c>
      <c r="C8" t="s">
        <v>156</v>
      </c>
      <c r="D8" t="s">
        <v>150</v>
      </c>
      <c r="E8" t="s">
        <v>151</v>
      </c>
      <c r="F8" t="s">
        <v>157</v>
      </c>
      <c r="G8" t="s">
        <v>158</v>
      </c>
      <c r="H8" t="s">
        <v>228</v>
      </c>
      <c r="I8">
        <v>340000</v>
      </c>
      <c r="J8">
        <v>220000</v>
      </c>
      <c r="K8">
        <v>-120000</v>
      </c>
      <c r="L8" t="s">
        <v>155</v>
      </c>
    </row>
    <row r="9" spans="1:13">
      <c r="B9">
        <v>230003</v>
      </c>
      <c r="C9" t="s">
        <v>160</v>
      </c>
      <c r="D9" t="s">
        <v>150</v>
      </c>
      <c r="E9" t="s">
        <v>151</v>
      </c>
      <c r="F9" t="s">
        <v>161</v>
      </c>
      <c r="G9" t="s">
        <v>162</v>
      </c>
      <c r="H9" t="s">
        <v>228</v>
      </c>
      <c r="I9">
        <v>360000</v>
      </c>
      <c r="J9">
        <v>230000</v>
      </c>
      <c r="K9">
        <v>-130000</v>
      </c>
      <c r="L9" t="s">
        <v>155</v>
      </c>
    </row>
    <row r="10" spans="1:13">
      <c r="B10">
        <v>230004</v>
      </c>
      <c r="C10" t="s">
        <v>164</v>
      </c>
      <c r="D10" t="s">
        <v>150</v>
      </c>
      <c r="E10" t="s">
        <v>151</v>
      </c>
      <c r="F10" t="s">
        <v>165</v>
      </c>
      <c r="G10" t="s">
        <v>166</v>
      </c>
      <c r="H10" t="s">
        <v>228</v>
      </c>
      <c r="I10">
        <v>380000</v>
      </c>
      <c r="J10">
        <v>240000</v>
      </c>
      <c r="K10">
        <v>-140000</v>
      </c>
      <c r="L10" t="s">
        <v>155</v>
      </c>
    </row>
    <row r="11" spans="1:13">
      <c r="B11">
        <v>230005</v>
      </c>
      <c r="C11" t="s">
        <v>168</v>
      </c>
      <c r="D11" t="s">
        <v>150</v>
      </c>
      <c r="E11" t="s">
        <v>151</v>
      </c>
      <c r="F11" t="s">
        <v>169</v>
      </c>
      <c r="G11" t="s">
        <v>170</v>
      </c>
      <c r="H11" t="s">
        <v>228</v>
      </c>
      <c r="I11">
        <v>400000</v>
      </c>
      <c r="J11">
        <v>250000</v>
      </c>
      <c r="K11">
        <v>-150000</v>
      </c>
      <c r="L11" t="s">
        <v>155</v>
      </c>
    </row>
    <row r="12" spans="1:13">
      <c r="B12">
        <v>230006</v>
      </c>
      <c r="C12" t="s">
        <v>171</v>
      </c>
      <c r="D12" t="s">
        <v>150</v>
      </c>
      <c r="E12" t="s">
        <v>151</v>
      </c>
      <c r="F12" t="s">
        <v>172</v>
      </c>
      <c r="G12" t="s">
        <v>173</v>
      </c>
      <c r="H12" t="s">
        <v>228</v>
      </c>
      <c r="I12">
        <v>420000</v>
      </c>
      <c r="J12">
        <v>260000</v>
      </c>
      <c r="K12">
        <v>-160000</v>
      </c>
      <c r="L12" t="s">
        <v>155</v>
      </c>
    </row>
    <row r="13" spans="1:13">
      <c r="B13">
        <v>230007</v>
      </c>
      <c r="C13" t="s">
        <v>174</v>
      </c>
      <c r="D13" t="s">
        <v>150</v>
      </c>
      <c r="E13" t="s">
        <v>151</v>
      </c>
      <c r="F13" t="s">
        <v>175</v>
      </c>
      <c r="G13" t="s">
        <v>176</v>
      </c>
      <c r="H13" t="s">
        <v>228</v>
      </c>
      <c r="I13">
        <v>440000</v>
      </c>
      <c r="J13">
        <v>270000</v>
      </c>
      <c r="K13">
        <v>-170000</v>
      </c>
      <c r="L13" t="s">
        <v>155</v>
      </c>
    </row>
    <row r="14" spans="1:13">
      <c r="B14">
        <v>230008</v>
      </c>
      <c r="C14" t="s">
        <v>177</v>
      </c>
      <c r="D14" t="s">
        <v>150</v>
      </c>
      <c r="E14" t="s">
        <v>151</v>
      </c>
      <c r="F14" t="s">
        <v>178</v>
      </c>
      <c r="G14" t="s">
        <v>179</v>
      </c>
      <c r="H14" t="s">
        <v>228</v>
      </c>
      <c r="I14">
        <v>460000</v>
      </c>
      <c r="J14">
        <v>280000</v>
      </c>
      <c r="K14">
        <v>-180000</v>
      </c>
      <c r="L14" t="s">
        <v>155</v>
      </c>
    </row>
    <row r="15" spans="1:13">
      <c r="B15">
        <v>230009</v>
      </c>
      <c r="C15" t="s">
        <v>180</v>
      </c>
      <c r="D15" t="s">
        <v>150</v>
      </c>
      <c r="E15" t="s">
        <v>151</v>
      </c>
      <c r="F15" t="s">
        <v>181</v>
      </c>
      <c r="G15" t="s">
        <v>182</v>
      </c>
      <c r="H15" t="s">
        <v>228</v>
      </c>
      <c r="I15">
        <v>480000</v>
      </c>
      <c r="J15">
        <v>290000</v>
      </c>
      <c r="K15">
        <v>-190000</v>
      </c>
      <c r="L15" t="s">
        <v>155</v>
      </c>
    </row>
    <row r="16" spans="1:13">
      <c r="B16">
        <v>230010</v>
      </c>
      <c r="C16" t="s">
        <v>183</v>
      </c>
      <c r="D16" t="s">
        <v>150</v>
      </c>
      <c r="E16" t="s">
        <v>151</v>
      </c>
      <c r="F16" t="s">
        <v>184</v>
      </c>
      <c r="G16" t="s">
        <v>185</v>
      </c>
      <c r="H16" t="s">
        <v>228</v>
      </c>
      <c r="I16">
        <v>500000</v>
      </c>
      <c r="J16">
        <v>300000</v>
      </c>
      <c r="K16">
        <v>-200000</v>
      </c>
      <c r="L16" t="s">
        <v>155</v>
      </c>
    </row>
    <row r="17" spans="2:12">
      <c r="B17">
        <v>130001</v>
      </c>
      <c r="C17" t="s">
        <v>186</v>
      </c>
      <c r="D17" t="s">
        <v>150</v>
      </c>
      <c r="E17" t="s">
        <v>187</v>
      </c>
      <c r="F17" t="s">
        <v>188</v>
      </c>
      <c r="G17" t="s">
        <v>153</v>
      </c>
      <c r="H17" t="s">
        <v>228</v>
      </c>
      <c r="I17">
        <v>320000</v>
      </c>
      <c r="J17">
        <v>210000</v>
      </c>
      <c r="K17">
        <v>-110000</v>
      </c>
      <c r="L17" t="s">
        <v>155</v>
      </c>
    </row>
    <row r="18" spans="2:12">
      <c r="B18">
        <v>130002</v>
      </c>
      <c r="C18" t="s">
        <v>189</v>
      </c>
      <c r="D18" t="s">
        <v>150</v>
      </c>
      <c r="E18" t="s">
        <v>187</v>
      </c>
      <c r="F18" t="s">
        <v>190</v>
      </c>
      <c r="G18" t="s">
        <v>158</v>
      </c>
      <c r="H18" t="s">
        <v>228</v>
      </c>
      <c r="I18">
        <v>340000</v>
      </c>
      <c r="J18">
        <v>220000</v>
      </c>
      <c r="K18">
        <v>-120000</v>
      </c>
      <c r="L18" t="s">
        <v>155</v>
      </c>
    </row>
    <row r="19" spans="2:12">
      <c r="B19">
        <v>130003</v>
      </c>
      <c r="C19" t="s">
        <v>191</v>
      </c>
      <c r="D19" t="s">
        <v>150</v>
      </c>
      <c r="E19" t="s">
        <v>187</v>
      </c>
      <c r="F19" t="s">
        <v>192</v>
      </c>
      <c r="G19" t="s">
        <v>162</v>
      </c>
      <c r="H19" t="s">
        <v>228</v>
      </c>
      <c r="I19">
        <v>360000</v>
      </c>
      <c r="J19">
        <v>230000</v>
      </c>
      <c r="K19">
        <v>-130000</v>
      </c>
      <c r="L19" t="s">
        <v>155</v>
      </c>
    </row>
    <row r="20" spans="2:12">
      <c r="B20">
        <v>130004</v>
      </c>
      <c r="C20" t="s">
        <v>193</v>
      </c>
      <c r="D20" t="s">
        <v>150</v>
      </c>
      <c r="E20" t="s">
        <v>187</v>
      </c>
      <c r="F20" t="s">
        <v>194</v>
      </c>
      <c r="G20" t="s">
        <v>166</v>
      </c>
      <c r="H20" t="s">
        <v>228</v>
      </c>
      <c r="I20">
        <v>380000</v>
      </c>
      <c r="J20">
        <v>240000</v>
      </c>
      <c r="K20">
        <v>-140000</v>
      </c>
      <c r="L20" t="s">
        <v>155</v>
      </c>
    </row>
    <row r="21" spans="2:12">
      <c r="B21">
        <v>130005</v>
      </c>
      <c r="C21" t="s">
        <v>195</v>
      </c>
      <c r="D21" t="s">
        <v>150</v>
      </c>
      <c r="E21" t="s">
        <v>187</v>
      </c>
      <c r="F21" t="s">
        <v>196</v>
      </c>
      <c r="G21" t="s">
        <v>170</v>
      </c>
      <c r="H21" t="s">
        <v>228</v>
      </c>
      <c r="I21">
        <v>400000</v>
      </c>
      <c r="J21">
        <v>250000</v>
      </c>
      <c r="K21">
        <v>-150000</v>
      </c>
      <c r="L21" t="s">
        <v>155</v>
      </c>
    </row>
    <row r="22" spans="2:12">
      <c r="B22">
        <v>130006</v>
      </c>
      <c r="C22" t="s">
        <v>197</v>
      </c>
      <c r="D22" t="s">
        <v>150</v>
      </c>
      <c r="E22" t="s">
        <v>187</v>
      </c>
      <c r="F22" t="s">
        <v>198</v>
      </c>
      <c r="G22" t="s">
        <v>173</v>
      </c>
      <c r="H22" t="s">
        <v>228</v>
      </c>
      <c r="I22">
        <v>420000</v>
      </c>
      <c r="J22">
        <v>260000</v>
      </c>
      <c r="K22">
        <v>-160000</v>
      </c>
      <c r="L22" t="s">
        <v>155</v>
      </c>
    </row>
    <row r="23" spans="2:12">
      <c r="B23">
        <v>130007</v>
      </c>
      <c r="C23" t="s">
        <v>199</v>
      </c>
      <c r="D23" t="s">
        <v>150</v>
      </c>
      <c r="E23" t="s">
        <v>187</v>
      </c>
      <c r="F23" t="s">
        <v>200</v>
      </c>
      <c r="G23" t="s">
        <v>176</v>
      </c>
      <c r="H23" t="s">
        <v>228</v>
      </c>
      <c r="I23">
        <v>440000</v>
      </c>
      <c r="J23">
        <v>270000</v>
      </c>
      <c r="K23">
        <v>-170000</v>
      </c>
      <c r="L23" t="s">
        <v>155</v>
      </c>
    </row>
    <row r="24" spans="2:12">
      <c r="B24">
        <v>130008</v>
      </c>
      <c r="C24" t="s">
        <v>201</v>
      </c>
      <c r="D24" t="s">
        <v>150</v>
      </c>
      <c r="E24" t="s">
        <v>187</v>
      </c>
      <c r="F24" t="s">
        <v>202</v>
      </c>
      <c r="G24" t="s">
        <v>179</v>
      </c>
      <c r="H24" t="s">
        <v>228</v>
      </c>
      <c r="I24">
        <v>460000</v>
      </c>
      <c r="J24">
        <v>280000</v>
      </c>
      <c r="K24">
        <v>-180000</v>
      </c>
      <c r="L24" t="s">
        <v>155</v>
      </c>
    </row>
    <row r="25" spans="2:12">
      <c r="B25">
        <v>130009</v>
      </c>
      <c r="C25" t="s">
        <v>203</v>
      </c>
      <c r="D25" t="s">
        <v>150</v>
      </c>
      <c r="E25" t="s">
        <v>187</v>
      </c>
      <c r="F25" t="s">
        <v>204</v>
      </c>
      <c r="G25" t="s">
        <v>182</v>
      </c>
      <c r="H25" t="s">
        <v>228</v>
      </c>
      <c r="I25">
        <v>480000</v>
      </c>
      <c r="J25">
        <v>290000</v>
      </c>
      <c r="K25">
        <v>-190000</v>
      </c>
      <c r="L25" t="s">
        <v>155</v>
      </c>
    </row>
    <row r="26" spans="2:12">
      <c r="B26">
        <v>130010</v>
      </c>
      <c r="C26" t="s">
        <v>205</v>
      </c>
      <c r="D26" t="s">
        <v>150</v>
      </c>
      <c r="E26" t="s">
        <v>187</v>
      </c>
      <c r="F26" t="s">
        <v>206</v>
      </c>
      <c r="G26" t="s">
        <v>185</v>
      </c>
      <c r="H26" t="s">
        <v>228</v>
      </c>
      <c r="I26">
        <v>500000</v>
      </c>
      <c r="J26">
        <v>300000</v>
      </c>
      <c r="K26">
        <v>-200000</v>
      </c>
      <c r="L26" t="s">
        <v>155</v>
      </c>
    </row>
    <row r="27" spans="2:12">
      <c r="B27">
        <v>270001</v>
      </c>
      <c r="C27" t="s">
        <v>207</v>
      </c>
      <c r="D27" t="s">
        <v>150</v>
      </c>
      <c r="E27" t="s">
        <v>208</v>
      </c>
      <c r="F27" t="s">
        <v>209</v>
      </c>
      <c r="G27" t="s">
        <v>153</v>
      </c>
      <c r="H27" t="s">
        <v>228</v>
      </c>
      <c r="I27">
        <v>320000</v>
      </c>
      <c r="J27">
        <v>210000</v>
      </c>
      <c r="K27">
        <v>-110000</v>
      </c>
      <c r="L27" t="s">
        <v>155</v>
      </c>
    </row>
    <row r="28" spans="2:12">
      <c r="B28">
        <v>270002</v>
      </c>
      <c r="C28" t="s">
        <v>210</v>
      </c>
      <c r="D28" t="s">
        <v>150</v>
      </c>
      <c r="E28" t="s">
        <v>208</v>
      </c>
      <c r="F28" t="s">
        <v>211</v>
      </c>
      <c r="G28" t="s">
        <v>158</v>
      </c>
      <c r="H28" t="s">
        <v>228</v>
      </c>
      <c r="I28">
        <v>340000</v>
      </c>
      <c r="J28">
        <v>220000</v>
      </c>
      <c r="K28">
        <v>-120000</v>
      </c>
      <c r="L28" t="s">
        <v>155</v>
      </c>
    </row>
    <row r="29" spans="2:12">
      <c r="B29">
        <v>270003</v>
      </c>
      <c r="C29" t="s">
        <v>212</v>
      </c>
      <c r="D29" t="s">
        <v>150</v>
      </c>
      <c r="E29" t="s">
        <v>208</v>
      </c>
      <c r="F29" t="s">
        <v>213</v>
      </c>
      <c r="G29" t="s">
        <v>162</v>
      </c>
      <c r="H29" t="s">
        <v>228</v>
      </c>
      <c r="I29">
        <v>360000</v>
      </c>
      <c r="J29">
        <v>230000</v>
      </c>
      <c r="K29">
        <v>-130000</v>
      </c>
      <c r="L29" t="s">
        <v>155</v>
      </c>
    </row>
    <row r="30" spans="2:12">
      <c r="B30">
        <v>270004</v>
      </c>
      <c r="C30" t="s">
        <v>214</v>
      </c>
      <c r="D30" t="s">
        <v>150</v>
      </c>
      <c r="E30" t="s">
        <v>208</v>
      </c>
      <c r="F30" t="s">
        <v>215</v>
      </c>
      <c r="G30" t="s">
        <v>166</v>
      </c>
      <c r="H30" t="s">
        <v>228</v>
      </c>
      <c r="I30">
        <v>380000</v>
      </c>
      <c r="J30">
        <v>240000</v>
      </c>
      <c r="K30">
        <v>-140000</v>
      </c>
      <c r="L30" t="s">
        <v>155</v>
      </c>
    </row>
    <row r="31" spans="2:12">
      <c r="B31">
        <v>270005</v>
      </c>
      <c r="C31" t="s">
        <v>216</v>
      </c>
      <c r="D31" t="s">
        <v>150</v>
      </c>
      <c r="E31" t="s">
        <v>208</v>
      </c>
      <c r="F31" t="s">
        <v>217</v>
      </c>
      <c r="G31" t="s">
        <v>170</v>
      </c>
      <c r="H31" t="s">
        <v>228</v>
      </c>
      <c r="I31">
        <v>400000</v>
      </c>
      <c r="J31">
        <v>250000</v>
      </c>
      <c r="K31">
        <v>-150000</v>
      </c>
      <c r="L31" t="s">
        <v>155</v>
      </c>
    </row>
    <row r="32" spans="2:12">
      <c r="B32">
        <v>270006</v>
      </c>
      <c r="C32" t="s">
        <v>218</v>
      </c>
      <c r="D32" t="s">
        <v>150</v>
      </c>
      <c r="E32" t="s">
        <v>208</v>
      </c>
      <c r="F32" t="s">
        <v>219</v>
      </c>
      <c r="G32" t="s">
        <v>173</v>
      </c>
      <c r="H32" t="s">
        <v>228</v>
      </c>
      <c r="I32">
        <v>420000</v>
      </c>
      <c r="J32">
        <v>260000</v>
      </c>
      <c r="K32">
        <v>-160000</v>
      </c>
      <c r="L32" t="s">
        <v>155</v>
      </c>
    </row>
    <row r="33" spans="2:12">
      <c r="B33">
        <v>270007</v>
      </c>
      <c r="C33" t="s">
        <v>220</v>
      </c>
      <c r="D33" t="s">
        <v>150</v>
      </c>
      <c r="E33" t="s">
        <v>208</v>
      </c>
      <c r="F33" t="s">
        <v>221</v>
      </c>
      <c r="G33" t="s">
        <v>176</v>
      </c>
      <c r="H33" t="s">
        <v>228</v>
      </c>
      <c r="I33">
        <v>440000</v>
      </c>
      <c r="J33">
        <v>270000</v>
      </c>
      <c r="K33">
        <v>-170000</v>
      </c>
      <c r="L33" t="s">
        <v>155</v>
      </c>
    </row>
    <row r="34" spans="2:12">
      <c r="B34">
        <v>270008</v>
      </c>
      <c r="C34" t="s">
        <v>222</v>
      </c>
      <c r="D34" t="s">
        <v>150</v>
      </c>
      <c r="E34" t="s">
        <v>208</v>
      </c>
      <c r="F34" t="s">
        <v>223</v>
      </c>
      <c r="G34" t="s">
        <v>179</v>
      </c>
      <c r="H34" t="s">
        <v>228</v>
      </c>
      <c r="I34">
        <v>460000</v>
      </c>
      <c r="J34">
        <v>280000</v>
      </c>
      <c r="K34">
        <v>-180000</v>
      </c>
      <c r="L34" t="s">
        <v>155</v>
      </c>
    </row>
    <row r="35" spans="2:12">
      <c r="B35">
        <v>270009</v>
      </c>
      <c r="C35" t="s">
        <v>224</v>
      </c>
      <c r="D35" t="s">
        <v>150</v>
      </c>
      <c r="E35" t="s">
        <v>208</v>
      </c>
      <c r="F35" t="s">
        <v>225</v>
      </c>
      <c r="G35" t="s">
        <v>182</v>
      </c>
      <c r="H35" t="s">
        <v>228</v>
      </c>
      <c r="I35">
        <v>480000</v>
      </c>
      <c r="J35">
        <v>290000</v>
      </c>
      <c r="K35">
        <v>-190000</v>
      </c>
      <c r="L35" t="s">
        <v>155</v>
      </c>
    </row>
    <row r="36" spans="2:12">
      <c r="B36">
        <v>270010</v>
      </c>
      <c r="C36" t="s">
        <v>226</v>
      </c>
      <c r="D36" t="s">
        <v>150</v>
      </c>
      <c r="E36" t="s">
        <v>208</v>
      </c>
      <c r="F36" t="s">
        <v>258</v>
      </c>
      <c r="G36" t="s">
        <v>185</v>
      </c>
      <c r="H36" t="s">
        <v>228</v>
      </c>
      <c r="I36">
        <v>500000</v>
      </c>
      <c r="J36">
        <v>300000</v>
      </c>
      <c r="K36">
        <v>-200000</v>
      </c>
      <c r="L36" t="s">
        <v>155</v>
      </c>
    </row>
  </sheetData>
  <mergeCells count="13">
    <mergeCell ref="A4:A6"/>
    <mergeCell ref="B4:B6"/>
    <mergeCell ref="C4:C6"/>
    <mergeCell ref="I4:I5"/>
    <mergeCell ref="K4:K5"/>
    <mergeCell ref="H4:H6"/>
    <mergeCell ref="J4:J5"/>
    <mergeCell ref="L4:L6"/>
    <mergeCell ref="M4:M6"/>
    <mergeCell ref="D4:D6"/>
    <mergeCell ref="E4:E6"/>
    <mergeCell ref="F4:F6"/>
    <mergeCell ref="G4:G6"/>
  </mergeCells>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78694-AE8F-4843-B209-1195A17A3207}">
  <sheetPr codeName="Sheet5">
    <tabColor rgb="FFFFC000"/>
  </sheetPr>
  <dimension ref="A1:M36"/>
  <sheetViews>
    <sheetView topLeftCell="A22" zoomScaleNormal="100" workbookViewId="0">
      <selection activeCell="N4" sqref="N4"/>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148</v>
      </c>
      <c r="B1" s="1"/>
      <c r="C1" s="1"/>
      <c r="D1" s="1"/>
    </row>
    <row r="2" spans="1:13" s="2" customFormat="1">
      <c r="B2" s="1"/>
      <c r="D2" s="1"/>
    </row>
    <row r="3" spans="1:13" s="2" customFormat="1" ht="18.5" thickBot="1">
      <c r="A3" s="2" t="s">
        <v>69</v>
      </c>
      <c r="B3" s="27"/>
      <c r="C3" s="2" t="s">
        <v>70</v>
      </c>
      <c r="M3" s="4" t="s">
        <v>98</v>
      </c>
    </row>
    <row r="4" spans="1:13" s="2" customFormat="1" ht="33.75" customHeight="1">
      <c r="A4" s="142" t="s">
        <v>87</v>
      </c>
      <c r="B4" s="138" t="s">
        <v>71</v>
      </c>
      <c r="C4" s="160" t="s">
        <v>66</v>
      </c>
      <c r="D4" s="149" t="s">
        <v>79</v>
      </c>
      <c r="E4" s="138" t="s">
        <v>72</v>
      </c>
      <c r="F4" s="138" t="s">
        <v>68</v>
      </c>
      <c r="G4" s="149" t="s">
        <v>80</v>
      </c>
      <c r="H4" s="149" t="s">
        <v>81</v>
      </c>
      <c r="I4" s="149" t="s">
        <v>146</v>
      </c>
      <c r="J4" s="149" t="s">
        <v>147</v>
      </c>
      <c r="K4" s="149" t="s">
        <v>101</v>
      </c>
      <c r="L4" s="149" t="s">
        <v>84</v>
      </c>
      <c r="M4" s="156" t="s">
        <v>85</v>
      </c>
    </row>
    <row r="5" spans="1:13" s="2" customFormat="1" ht="18.5" thickBot="1">
      <c r="A5" s="143"/>
      <c r="B5" s="139"/>
      <c r="C5" s="161"/>
      <c r="D5" s="150"/>
      <c r="E5" s="139"/>
      <c r="F5" s="139"/>
      <c r="G5" s="150"/>
      <c r="H5" s="150"/>
      <c r="I5" s="159"/>
      <c r="J5" s="159"/>
      <c r="K5" s="159"/>
      <c r="L5" s="150"/>
      <c r="M5" s="157"/>
    </row>
    <row r="6" spans="1:13" s="2" customFormat="1" ht="18.5" thickBot="1">
      <c r="A6" s="144"/>
      <c r="B6" s="141"/>
      <c r="C6" s="162"/>
      <c r="D6" s="159"/>
      <c r="E6" s="141"/>
      <c r="F6" s="141"/>
      <c r="G6" s="159"/>
      <c r="H6" s="151"/>
      <c r="I6" s="100">
        <f>SUM(I7:I1243)</f>
        <v>8475000</v>
      </c>
      <c r="J6" s="102">
        <f>SUM(J7:J1243)</f>
        <v>6150000</v>
      </c>
      <c r="K6" s="101">
        <f>SUM(K7:K1243)</f>
        <v>-2325000</v>
      </c>
      <c r="L6" s="155"/>
      <c r="M6" s="158"/>
    </row>
    <row r="7" spans="1:13">
      <c r="B7">
        <v>230001</v>
      </c>
      <c r="C7" t="s">
        <v>149</v>
      </c>
      <c r="D7" t="s">
        <v>150</v>
      </c>
      <c r="E7" t="s">
        <v>151</v>
      </c>
      <c r="F7" t="s">
        <v>152</v>
      </c>
      <c r="G7" t="s">
        <v>153</v>
      </c>
      <c r="H7" t="s">
        <v>154</v>
      </c>
      <c r="I7">
        <v>215000</v>
      </c>
      <c r="J7">
        <v>160000</v>
      </c>
      <c r="K7">
        <v>-55000</v>
      </c>
      <c r="L7" t="s">
        <v>155</v>
      </c>
    </row>
    <row r="8" spans="1:13">
      <c r="B8">
        <v>230002</v>
      </c>
      <c r="C8" t="s">
        <v>156</v>
      </c>
      <c r="D8" t="s">
        <v>150</v>
      </c>
      <c r="E8" t="s">
        <v>151</v>
      </c>
      <c r="F8" t="s">
        <v>157</v>
      </c>
      <c r="G8" t="s">
        <v>158</v>
      </c>
      <c r="H8" t="s">
        <v>159</v>
      </c>
      <c r="I8">
        <v>230000</v>
      </c>
      <c r="J8">
        <v>170000</v>
      </c>
      <c r="K8">
        <v>-60000</v>
      </c>
      <c r="L8" t="s">
        <v>155</v>
      </c>
    </row>
    <row r="9" spans="1:13">
      <c r="B9">
        <v>230003</v>
      </c>
      <c r="C9" t="s">
        <v>160</v>
      </c>
      <c r="D9" t="s">
        <v>150</v>
      </c>
      <c r="E9" t="s">
        <v>151</v>
      </c>
      <c r="F9" t="s">
        <v>161</v>
      </c>
      <c r="G9" t="s">
        <v>162</v>
      </c>
      <c r="H9" t="s">
        <v>163</v>
      </c>
      <c r="I9">
        <v>245000</v>
      </c>
      <c r="J9">
        <v>180000</v>
      </c>
      <c r="K9">
        <v>-65000</v>
      </c>
      <c r="L9" t="s">
        <v>155</v>
      </c>
    </row>
    <row r="10" spans="1:13">
      <c r="B10">
        <v>230004</v>
      </c>
      <c r="C10" t="s">
        <v>164</v>
      </c>
      <c r="D10" t="s">
        <v>150</v>
      </c>
      <c r="E10" t="s">
        <v>151</v>
      </c>
      <c r="F10" t="s">
        <v>165</v>
      </c>
      <c r="G10" t="s">
        <v>166</v>
      </c>
      <c r="H10" t="s">
        <v>167</v>
      </c>
      <c r="I10">
        <v>260000</v>
      </c>
      <c r="J10">
        <v>190000</v>
      </c>
      <c r="K10">
        <v>-70000</v>
      </c>
      <c r="L10" t="s">
        <v>155</v>
      </c>
    </row>
    <row r="11" spans="1:13">
      <c r="B11">
        <v>230005</v>
      </c>
      <c r="C11" t="s">
        <v>168</v>
      </c>
      <c r="D11" t="s">
        <v>150</v>
      </c>
      <c r="E11" t="s">
        <v>151</v>
      </c>
      <c r="F11" t="s">
        <v>169</v>
      </c>
      <c r="G11" t="s">
        <v>170</v>
      </c>
      <c r="H11" t="s">
        <v>154</v>
      </c>
      <c r="I11">
        <v>275000</v>
      </c>
      <c r="J11">
        <v>200000</v>
      </c>
      <c r="K11">
        <v>-75000</v>
      </c>
      <c r="L11" t="s">
        <v>155</v>
      </c>
    </row>
    <row r="12" spans="1:13">
      <c r="B12">
        <v>230006</v>
      </c>
      <c r="C12" t="s">
        <v>171</v>
      </c>
      <c r="D12" t="s">
        <v>150</v>
      </c>
      <c r="E12" t="s">
        <v>151</v>
      </c>
      <c r="F12" t="s">
        <v>172</v>
      </c>
      <c r="G12" t="s">
        <v>173</v>
      </c>
      <c r="H12" t="s">
        <v>159</v>
      </c>
      <c r="I12">
        <v>290000</v>
      </c>
      <c r="J12">
        <v>210000</v>
      </c>
      <c r="K12">
        <v>-80000</v>
      </c>
      <c r="L12" t="s">
        <v>155</v>
      </c>
    </row>
    <row r="13" spans="1:13">
      <c r="B13">
        <v>230007</v>
      </c>
      <c r="C13" t="s">
        <v>174</v>
      </c>
      <c r="D13" t="s">
        <v>150</v>
      </c>
      <c r="E13" t="s">
        <v>151</v>
      </c>
      <c r="F13" t="s">
        <v>175</v>
      </c>
      <c r="G13" t="s">
        <v>176</v>
      </c>
      <c r="H13" t="s">
        <v>163</v>
      </c>
      <c r="I13">
        <v>305000</v>
      </c>
      <c r="J13">
        <v>220000</v>
      </c>
      <c r="K13">
        <v>-85000</v>
      </c>
      <c r="L13" t="s">
        <v>155</v>
      </c>
    </row>
    <row r="14" spans="1:13">
      <c r="B14">
        <v>230008</v>
      </c>
      <c r="C14" t="s">
        <v>177</v>
      </c>
      <c r="D14" t="s">
        <v>150</v>
      </c>
      <c r="E14" t="s">
        <v>151</v>
      </c>
      <c r="F14" t="s">
        <v>178</v>
      </c>
      <c r="G14" t="s">
        <v>179</v>
      </c>
      <c r="H14" t="s">
        <v>167</v>
      </c>
      <c r="I14">
        <v>320000</v>
      </c>
      <c r="J14">
        <v>230000</v>
      </c>
      <c r="K14">
        <v>-90000</v>
      </c>
      <c r="L14" t="s">
        <v>155</v>
      </c>
    </row>
    <row r="15" spans="1:13">
      <c r="B15">
        <v>230009</v>
      </c>
      <c r="C15" t="s">
        <v>180</v>
      </c>
      <c r="D15" t="s">
        <v>150</v>
      </c>
      <c r="E15" t="s">
        <v>151</v>
      </c>
      <c r="F15" t="s">
        <v>181</v>
      </c>
      <c r="G15" t="s">
        <v>182</v>
      </c>
      <c r="H15" t="s">
        <v>154</v>
      </c>
      <c r="I15">
        <v>335000</v>
      </c>
      <c r="J15">
        <v>240000</v>
      </c>
      <c r="K15">
        <v>-95000</v>
      </c>
      <c r="L15" t="s">
        <v>155</v>
      </c>
    </row>
    <row r="16" spans="1:13">
      <c r="B16">
        <v>230010</v>
      </c>
      <c r="C16" t="s">
        <v>183</v>
      </c>
      <c r="D16" t="s">
        <v>150</v>
      </c>
      <c r="E16" t="s">
        <v>151</v>
      </c>
      <c r="F16" t="s">
        <v>184</v>
      </c>
      <c r="G16" t="s">
        <v>185</v>
      </c>
      <c r="H16" t="s">
        <v>159</v>
      </c>
      <c r="I16">
        <v>350000</v>
      </c>
      <c r="J16">
        <v>250000</v>
      </c>
      <c r="K16">
        <v>-100000</v>
      </c>
      <c r="L16" t="s">
        <v>155</v>
      </c>
    </row>
    <row r="17" spans="2:12">
      <c r="B17">
        <v>130001</v>
      </c>
      <c r="C17" t="s">
        <v>186</v>
      </c>
      <c r="D17" t="s">
        <v>150</v>
      </c>
      <c r="E17" t="s">
        <v>187</v>
      </c>
      <c r="F17" t="s">
        <v>188</v>
      </c>
      <c r="G17" t="s">
        <v>153</v>
      </c>
      <c r="H17" t="s">
        <v>154</v>
      </c>
      <c r="I17">
        <v>215000</v>
      </c>
      <c r="J17">
        <v>160000</v>
      </c>
      <c r="K17">
        <v>-55000</v>
      </c>
      <c r="L17" t="s">
        <v>155</v>
      </c>
    </row>
    <row r="18" spans="2:12">
      <c r="B18">
        <v>130002</v>
      </c>
      <c r="C18" t="s">
        <v>189</v>
      </c>
      <c r="D18" t="s">
        <v>150</v>
      </c>
      <c r="E18" t="s">
        <v>187</v>
      </c>
      <c r="F18" t="s">
        <v>190</v>
      </c>
      <c r="G18" t="s">
        <v>158</v>
      </c>
      <c r="H18" t="s">
        <v>159</v>
      </c>
      <c r="I18">
        <v>230000</v>
      </c>
      <c r="J18">
        <v>170000</v>
      </c>
      <c r="K18">
        <v>-60000</v>
      </c>
      <c r="L18" t="s">
        <v>155</v>
      </c>
    </row>
    <row r="19" spans="2:12">
      <c r="B19">
        <v>130003</v>
      </c>
      <c r="C19" t="s">
        <v>191</v>
      </c>
      <c r="D19" t="s">
        <v>150</v>
      </c>
      <c r="E19" t="s">
        <v>187</v>
      </c>
      <c r="F19" t="s">
        <v>192</v>
      </c>
      <c r="G19" t="s">
        <v>162</v>
      </c>
      <c r="H19" t="s">
        <v>163</v>
      </c>
      <c r="I19">
        <v>245000</v>
      </c>
      <c r="J19">
        <v>180000</v>
      </c>
      <c r="K19">
        <v>-65000</v>
      </c>
      <c r="L19" t="s">
        <v>155</v>
      </c>
    </row>
    <row r="20" spans="2:12">
      <c r="B20">
        <v>130004</v>
      </c>
      <c r="C20" t="s">
        <v>193</v>
      </c>
      <c r="D20" t="s">
        <v>150</v>
      </c>
      <c r="E20" t="s">
        <v>187</v>
      </c>
      <c r="F20" t="s">
        <v>194</v>
      </c>
      <c r="G20" t="s">
        <v>166</v>
      </c>
      <c r="H20" t="s">
        <v>167</v>
      </c>
      <c r="I20">
        <v>260000</v>
      </c>
      <c r="J20">
        <v>190000</v>
      </c>
      <c r="K20">
        <v>-70000</v>
      </c>
      <c r="L20" t="s">
        <v>155</v>
      </c>
    </row>
    <row r="21" spans="2:12">
      <c r="B21">
        <v>130005</v>
      </c>
      <c r="C21" t="s">
        <v>195</v>
      </c>
      <c r="D21" t="s">
        <v>150</v>
      </c>
      <c r="E21" t="s">
        <v>187</v>
      </c>
      <c r="F21" t="s">
        <v>196</v>
      </c>
      <c r="G21" t="s">
        <v>170</v>
      </c>
      <c r="H21" t="s">
        <v>154</v>
      </c>
      <c r="I21">
        <v>275000</v>
      </c>
      <c r="J21">
        <v>200000</v>
      </c>
      <c r="K21">
        <v>-75000</v>
      </c>
      <c r="L21" t="s">
        <v>155</v>
      </c>
    </row>
    <row r="22" spans="2:12">
      <c r="B22">
        <v>130006</v>
      </c>
      <c r="C22" t="s">
        <v>197</v>
      </c>
      <c r="D22" t="s">
        <v>150</v>
      </c>
      <c r="E22" t="s">
        <v>187</v>
      </c>
      <c r="F22" t="s">
        <v>198</v>
      </c>
      <c r="G22" t="s">
        <v>173</v>
      </c>
      <c r="H22" t="s">
        <v>159</v>
      </c>
      <c r="I22">
        <v>290000</v>
      </c>
      <c r="J22">
        <v>210000</v>
      </c>
      <c r="K22">
        <v>-80000</v>
      </c>
      <c r="L22" t="s">
        <v>155</v>
      </c>
    </row>
    <row r="23" spans="2:12">
      <c r="B23">
        <v>130007</v>
      </c>
      <c r="C23" t="s">
        <v>199</v>
      </c>
      <c r="D23" t="s">
        <v>150</v>
      </c>
      <c r="E23" t="s">
        <v>187</v>
      </c>
      <c r="F23" t="s">
        <v>200</v>
      </c>
      <c r="G23" t="s">
        <v>176</v>
      </c>
      <c r="H23" t="s">
        <v>163</v>
      </c>
      <c r="I23">
        <v>305000</v>
      </c>
      <c r="J23">
        <v>220000</v>
      </c>
      <c r="K23">
        <v>-85000</v>
      </c>
      <c r="L23" t="s">
        <v>155</v>
      </c>
    </row>
    <row r="24" spans="2:12">
      <c r="B24">
        <v>130008</v>
      </c>
      <c r="C24" t="s">
        <v>201</v>
      </c>
      <c r="D24" t="s">
        <v>150</v>
      </c>
      <c r="E24" t="s">
        <v>187</v>
      </c>
      <c r="F24" t="s">
        <v>202</v>
      </c>
      <c r="G24" t="s">
        <v>179</v>
      </c>
      <c r="H24" t="s">
        <v>167</v>
      </c>
      <c r="I24">
        <v>320000</v>
      </c>
      <c r="J24">
        <v>230000</v>
      </c>
      <c r="K24">
        <v>-90000</v>
      </c>
      <c r="L24" t="s">
        <v>155</v>
      </c>
    </row>
    <row r="25" spans="2:12">
      <c r="B25">
        <v>130009</v>
      </c>
      <c r="C25" t="s">
        <v>203</v>
      </c>
      <c r="D25" t="s">
        <v>150</v>
      </c>
      <c r="E25" t="s">
        <v>187</v>
      </c>
      <c r="F25" t="s">
        <v>204</v>
      </c>
      <c r="G25" t="s">
        <v>182</v>
      </c>
      <c r="H25" t="s">
        <v>154</v>
      </c>
      <c r="I25">
        <v>335000</v>
      </c>
      <c r="J25">
        <v>240000</v>
      </c>
      <c r="K25">
        <v>-95000</v>
      </c>
      <c r="L25" t="s">
        <v>155</v>
      </c>
    </row>
    <row r="26" spans="2:12">
      <c r="B26">
        <v>130010</v>
      </c>
      <c r="C26" t="s">
        <v>205</v>
      </c>
      <c r="D26" t="s">
        <v>150</v>
      </c>
      <c r="E26" t="s">
        <v>187</v>
      </c>
      <c r="F26" t="s">
        <v>206</v>
      </c>
      <c r="G26" t="s">
        <v>185</v>
      </c>
      <c r="H26" t="s">
        <v>159</v>
      </c>
      <c r="I26">
        <v>350000</v>
      </c>
      <c r="J26">
        <v>250000</v>
      </c>
      <c r="K26">
        <v>-100000</v>
      </c>
      <c r="L26" t="s">
        <v>155</v>
      </c>
    </row>
    <row r="27" spans="2:12">
      <c r="B27">
        <v>270001</v>
      </c>
      <c r="C27" t="s">
        <v>207</v>
      </c>
      <c r="D27" t="s">
        <v>150</v>
      </c>
      <c r="E27" t="s">
        <v>208</v>
      </c>
      <c r="F27" t="s">
        <v>209</v>
      </c>
      <c r="G27" t="s">
        <v>153</v>
      </c>
      <c r="H27" t="s">
        <v>154</v>
      </c>
      <c r="I27">
        <v>215000</v>
      </c>
      <c r="J27">
        <v>160000</v>
      </c>
      <c r="K27">
        <v>-55000</v>
      </c>
      <c r="L27" t="s">
        <v>155</v>
      </c>
    </row>
    <row r="28" spans="2:12">
      <c r="B28">
        <v>270002</v>
      </c>
      <c r="C28" t="s">
        <v>210</v>
      </c>
      <c r="D28" t="s">
        <v>150</v>
      </c>
      <c r="E28" t="s">
        <v>208</v>
      </c>
      <c r="F28" t="s">
        <v>211</v>
      </c>
      <c r="G28" t="s">
        <v>158</v>
      </c>
      <c r="H28" t="s">
        <v>159</v>
      </c>
      <c r="I28">
        <v>230000</v>
      </c>
      <c r="J28">
        <v>170000</v>
      </c>
      <c r="K28">
        <v>-60000</v>
      </c>
      <c r="L28" t="s">
        <v>155</v>
      </c>
    </row>
    <row r="29" spans="2:12">
      <c r="B29">
        <v>270003</v>
      </c>
      <c r="C29" t="s">
        <v>212</v>
      </c>
      <c r="D29" t="s">
        <v>150</v>
      </c>
      <c r="E29" t="s">
        <v>208</v>
      </c>
      <c r="F29" t="s">
        <v>213</v>
      </c>
      <c r="G29" t="s">
        <v>162</v>
      </c>
      <c r="H29" t="s">
        <v>163</v>
      </c>
      <c r="I29">
        <v>245000</v>
      </c>
      <c r="J29">
        <v>180000</v>
      </c>
      <c r="K29">
        <v>-65000</v>
      </c>
      <c r="L29" t="s">
        <v>155</v>
      </c>
    </row>
    <row r="30" spans="2:12">
      <c r="B30">
        <v>270004</v>
      </c>
      <c r="C30" t="s">
        <v>214</v>
      </c>
      <c r="D30" t="s">
        <v>150</v>
      </c>
      <c r="E30" t="s">
        <v>208</v>
      </c>
      <c r="F30" t="s">
        <v>215</v>
      </c>
      <c r="G30" t="s">
        <v>166</v>
      </c>
      <c r="H30" t="s">
        <v>167</v>
      </c>
      <c r="I30">
        <v>260000</v>
      </c>
      <c r="J30">
        <v>190000</v>
      </c>
      <c r="K30">
        <v>-70000</v>
      </c>
      <c r="L30" t="s">
        <v>155</v>
      </c>
    </row>
    <row r="31" spans="2:12">
      <c r="B31">
        <v>270005</v>
      </c>
      <c r="C31" t="s">
        <v>216</v>
      </c>
      <c r="D31" t="s">
        <v>150</v>
      </c>
      <c r="E31" t="s">
        <v>208</v>
      </c>
      <c r="F31" t="s">
        <v>217</v>
      </c>
      <c r="G31" t="s">
        <v>170</v>
      </c>
      <c r="H31" t="s">
        <v>154</v>
      </c>
      <c r="I31">
        <v>275000</v>
      </c>
      <c r="J31">
        <v>200000</v>
      </c>
      <c r="K31">
        <v>-75000</v>
      </c>
      <c r="L31" t="s">
        <v>155</v>
      </c>
    </row>
    <row r="32" spans="2:12">
      <c r="B32">
        <v>270006</v>
      </c>
      <c r="C32" t="s">
        <v>218</v>
      </c>
      <c r="D32" t="s">
        <v>150</v>
      </c>
      <c r="E32" t="s">
        <v>208</v>
      </c>
      <c r="F32" t="s">
        <v>219</v>
      </c>
      <c r="G32" t="s">
        <v>173</v>
      </c>
      <c r="H32" t="s">
        <v>159</v>
      </c>
      <c r="I32">
        <v>290000</v>
      </c>
      <c r="J32">
        <v>210000</v>
      </c>
      <c r="K32">
        <v>-80000</v>
      </c>
      <c r="L32" t="s">
        <v>155</v>
      </c>
    </row>
    <row r="33" spans="2:12">
      <c r="B33">
        <v>270007</v>
      </c>
      <c r="C33" t="s">
        <v>220</v>
      </c>
      <c r="D33" t="s">
        <v>150</v>
      </c>
      <c r="E33" t="s">
        <v>208</v>
      </c>
      <c r="F33" t="s">
        <v>221</v>
      </c>
      <c r="G33" t="s">
        <v>176</v>
      </c>
      <c r="H33" t="s">
        <v>163</v>
      </c>
      <c r="I33">
        <v>305000</v>
      </c>
      <c r="J33">
        <v>220000</v>
      </c>
      <c r="K33">
        <v>-85000</v>
      </c>
      <c r="L33" t="s">
        <v>155</v>
      </c>
    </row>
    <row r="34" spans="2:12">
      <c r="B34">
        <v>270008</v>
      </c>
      <c r="C34" t="s">
        <v>222</v>
      </c>
      <c r="D34" t="s">
        <v>150</v>
      </c>
      <c r="E34" t="s">
        <v>208</v>
      </c>
      <c r="F34" t="s">
        <v>223</v>
      </c>
      <c r="G34" t="s">
        <v>179</v>
      </c>
      <c r="H34" t="s">
        <v>167</v>
      </c>
      <c r="I34">
        <v>320000</v>
      </c>
      <c r="J34">
        <v>230000</v>
      </c>
      <c r="K34">
        <v>-90000</v>
      </c>
      <c r="L34" t="s">
        <v>155</v>
      </c>
    </row>
    <row r="35" spans="2:12">
      <c r="B35">
        <v>270009</v>
      </c>
      <c r="C35" t="s">
        <v>224</v>
      </c>
      <c r="D35" t="s">
        <v>150</v>
      </c>
      <c r="E35" t="s">
        <v>208</v>
      </c>
      <c r="F35" t="s">
        <v>225</v>
      </c>
      <c r="G35" t="s">
        <v>182</v>
      </c>
      <c r="H35" t="s">
        <v>154</v>
      </c>
      <c r="I35">
        <v>335000</v>
      </c>
      <c r="J35">
        <v>240000</v>
      </c>
      <c r="K35">
        <v>-95000</v>
      </c>
      <c r="L35" t="s">
        <v>155</v>
      </c>
    </row>
    <row r="36" spans="2:12">
      <c r="B36">
        <v>270010</v>
      </c>
      <c r="C36" t="s">
        <v>226</v>
      </c>
      <c r="D36" t="s">
        <v>150</v>
      </c>
      <c r="E36" t="s">
        <v>208</v>
      </c>
      <c r="F36" t="s">
        <v>227</v>
      </c>
      <c r="G36" t="s">
        <v>185</v>
      </c>
      <c r="H36" t="s">
        <v>159</v>
      </c>
      <c r="I36">
        <v>350000</v>
      </c>
      <c r="J36">
        <v>250000</v>
      </c>
      <c r="K36">
        <v>-100000</v>
      </c>
      <c r="L36" t="s">
        <v>155</v>
      </c>
    </row>
  </sheetData>
  <mergeCells count="13">
    <mergeCell ref="M4:M6"/>
    <mergeCell ref="G4:G6"/>
    <mergeCell ref="H4:H6"/>
    <mergeCell ref="I4:I5"/>
    <mergeCell ref="J4:J5"/>
    <mergeCell ref="K4:K5"/>
    <mergeCell ref="L4:L6"/>
    <mergeCell ref="F4:F6"/>
    <mergeCell ref="A4:A6"/>
    <mergeCell ref="B4:B6"/>
    <mergeCell ref="C4:C6"/>
    <mergeCell ref="D4:D6"/>
    <mergeCell ref="E4:E6"/>
  </mergeCells>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5C87-23D7-4967-811E-EC4EBD15FD43}">
  <sheetPr codeName="Sheet6">
    <tabColor rgb="FFFFC000"/>
  </sheetPr>
  <dimension ref="A1:L11"/>
  <sheetViews>
    <sheetView topLeftCell="A7" zoomScale="68" workbookViewId="0">
      <selection activeCell="C10" sqref="C10:F10"/>
    </sheetView>
  </sheetViews>
  <sheetFormatPr defaultRowHeight="18"/>
  <cols>
    <col min="1" max="1" width="7.83203125" customWidth="1"/>
  </cols>
  <sheetData>
    <row r="1" spans="1:12" ht="22.5">
      <c r="A1" s="175" t="s">
        <v>243</v>
      </c>
      <c r="B1" s="175"/>
      <c r="C1" s="175"/>
      <c r="D1" s="175"/>
      <c r="E1" s="175"/>
      <c r="F1" s="175"/>
      <c r="G1" s="175"/>
      <c r="H1" s="175"/>
      <c r="I1" s="175"/>
      <c r="J1" s="175"/>
      <c r="K1" s="175"/>
      <c r="L1" s="175"/>
    </row>
    <row r="2" spans="1:12" ht="22.5">
      <c r="A2" s="176" t="s">
        <v>244</v>
      </c>
      <c r="B2" s="176"/>
      <c r="C2" s="176"/>
      <c r="D2" s="176"/>
      <c r="E2" s="176"/>
      <c r="F2" s="176"/>
      <c r="G2" s="176"/>
      <c r="H2" s="176"/>
      <c r="I2" s="176"/>
      <c r="J2" s="176"/>
      <c r="K2" s="176"/>
      <c r="L2" s="176"/>
    </row>
    <row r="3" spans="1:12" ht="47" customHeight="1">
      <c r="A3" s="167" t="s">
        <v>251</v>
      </c>
      <c r="B3" s="177"/>
      <c r="C3" s="177"/>
      <c r="D3" s="177"/>
      <c r="E3" s="177"/>
      <c r="F3" s="177"/>
      <c r="G3" s="177"/>
      <c r="H3" s="177"/>
      <c r="I3" s="177"/>
      <c r="J3" s="177"/>
      <c r="K3" s="177"/>
      <c r="L3" s="178"/>
    </row>
    <row r="4" spans="1:12" ht="23.5" customHeight="1">
      <c r="A4" s="179" t="s">
        <v>245</v>
      </c>
      <c r="B4" s="179"/>
      <c r="C4" s="179"/>
      <c r="D4" s="179"/>
      <c r="E4" s="179"/>
      <c r="F4" s="179"/>
      <c r="G4" s="179"/>
      <c r="H4" s="179"/>
      <c r="I4" s="179"/>
      <c r="J4" s="179"/>
      <c r="K4" s="179"/>
      <c r="L4" s="179"/>
    </row>
    <row r="5" spans="1:12" ht="58.5" customHeight="1">
      <c r="A5" s="183" t="s">
        <v>252</v>
      </c>
      <c r="B5" s="180"/>
      <c r="C5" s="180"/>
      <c r="D5" s="181"/>
      <c r="E5" s="181"/>
      <c r="F5" s="181"/>
      <c r="G5" s="181"/>
      <c r="H5" s="181"/>
      <c r="I5" s="181"/>
      <c r="J5" s="181"/>
      <c r="K5" s="181"/>
      <c r="L5" s="181"/>
    </row>
    <row r="6" spans="1:12" ht="23" customHeight="1">
      <c r="A6" s="163" t="s">
        <v>249</v>
      </c>
      <c r="B6" s="164"/>
      <c r="C6" s="164"/>
      <c r="D6" s="164"/>
      <c r="E6" s="164"/>
      <c r="F6" s="164"/>
      <c r="G6" s="164"/>
      <c r="H6" s="164"/>
      <c r="I6" s="164"/>
      <c r="J6" s="164"/>
      <c r="K6" s="164"/>
      <c r="L6" s="165"/>
    </row>
    <row r="7" spans="1:12" ht="99" customHeight="1">
      <c r="A7" s="182" t="s">
        <v>257</v>
      </c>
      <c r="B7" s="168"/>
      <c r="C7" s="168"/>
      <c r="D7" s="168"/>
      <c r="E7" s="168"/>
      <c r="F7" s="168"/>
      <c r="G7" s="168"/>
      <c r="H7" s="168"/>
      <c r="I7" s="168"/>
      <c r="J7" s="168"/>
      <c r="K7" s="168"/>
      <c r="L7" s="169"/>
    </row>
    <row r="8" spans="1:12" ht="23.5" customHeight="1">
      <c r="A8" s="170" t="s">
        <v>242</v>
      </c>
      <c r="B8" s="171"/>
      <c r="C8" s="171"/>
      <c r="D8" s="172" t="s">
        <v>250</v>
      </c>
      <c r="E8" s="172"/>
      <c r="F8" s="172"/>
      <c r="G8" s="172"/>
      <c r="H8" s="172"/>
      <c r="I8" s="172"/>
      <c r="J8" s="172"/>
      <c r="K8" s="172"/>
      <c r="L8" s="173"/>
    </row>
    <row r="9" spans="1:12" ht="23.5" customHeight="1">
      <c r="A9" s="170" t="s">
        <v>246</v>
      </c>
      <c r="B9" s="174"/>
      <c r="C9" s="170" t="s">
        <v>247</v>
      </c>
      <c r="D9" s="171"/>
      <c r="E9" s="171"/>
      <c r="F9" s="174"/>
      <c r="G9" s="170" t="s">
        <v>248</v>
      </c>
      <c r="H9" s="171"/>
      <c r="I9" s="171"/>
      <c r="J9" s="171"/>
      <c r="K9" s="171"/>
      <c r="L9" s="174"/>
    </row>
    <row r="10" spans="1:12" ht="70" customHeight="1">
      <c r="A10" s="166"/>
      <c r="B10" s="166"/>
      <c r="C10" s="184" t="s">
        <v>256</v>
      </c>
      <c r="D10" s="185"/>
      <c r="E10" s="185"/>
      <c r="F10" s="185"/>
      <c r="G10" s="184" t="s">
        <v>255</v>
      </c>
      <c r="H10" s="186"/>
      <c r="I10" s="186"/>
      <c r="J10" s="186"/>
      <c r="K10" s="186"/>
      <c r="L10" s="186"/>
    </row>
    <row r="11" spans="1:12" ht="69.5" customHeight="1">
      <c r="A11" s="166"/>
      <c r="B11" s="166"/>
      <c r="C11" s="187" t="s">
        <v>253</v>
      </c>
      <c r="D11" s="188"/>
      <c r="E11" s="188"/>
      <c r="F11" s="188"/>
      <c r="G11" s="184" t="s">
        <v>254</v>
      </c>
      <c r="H11" s="189"/>
      <c r="I11" s="189"/>
      <c r="J11" s="189"/>
      <c r="K11" s="189"/>
      <c r="L11" s="189"/>
    </row>
  </sheetData>
  <mergeCells count="18">
    <mergeCell ref="A1:L1"/>
    <mergeCell ref="A2:L2"/>
    <mergeCell ref="A3:L3"/>
    <mergeCell ref="A4:L4"/>
    <mergeCell ref="A5:L5"/>
    <mergeCell ref="A6:L6"/>
    <mergeCell ref="A10:B10"/>
    <mergeCell ref="C10:F10"/>
    <mergeCell ref="G10:L10"/>
    <mergeCell ref="A11:B11"/>
    <mergeCell ref="C11:F11"/>
    <mergeCell ref="G11:L11"/>
    <mergeCell ref="A7:L7"/>
    <mergeCell ref="A8:C8"/>
    <mergeCell ref="D8:L8"/>
    <mergeCell ref="A9:B9"/>
    <mergeCell ref="C9:F9"/>
    <mergeCell ref="G9:L9"/>
  </mergeCells>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6.onClick_Exec_Button">
                <anchor moveWithCells="1">
                  <from>
                    <xdr:col>0</xdr:col>
                    <xdr:colOff>120650</xdr:colOff>
                    <xdr:row>10</xdr:row>
                    <xdr:rowOff>254000</xdr:rowOff>
                  </from>
                  <to>
                    <xdr:col>1</xdr:col>
                    <xdr:colOff>444500</xdr:colOff>
                    <xdr:row>10</xdr:row>
                    <xdr:rowOff>628650</xdr:rowOff>
                  </to>
                </anchor>
              </controlPr>
            </control>
          </mc:Choice>
        </mc:AlternateContent>
        <mc:AlternateContent xmlns:mc="http://schemas.openxmlformats.org/markup-compatibility/2006">
          <mc:Choice Requires="x14">
            <control shapeId="1027" r:id="rId5" name="Button 3">
              <controlPr defaultSize="0" print="0" autoFill="0" autoPict="0" macro="[0]!Sheet6.onClick_SelectFolder">
                <anchor moveWithCells="1" sizeWithCells="1">
                  <from>
                    <xdr:col>0</xdr:col>
                    <xdr:colOff>139700</xdr:colOff>
                    <xdr:row>9</xdr:row>
                    <xdr:rowOff>222250</xdr:rowOff>
                  </from>
                  <to>
                    <xdr:col>1</xdr:col>
                    <xdr:colOff>501650</xdr:colOff>
                    <xdr:row>9</xdr:row>
                    <xdr:rowOff>603250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344171-b948-4100-a6fb-a573acfef863">
      <Terms xmlns="http://schemas.microsoft.com/office/infopath/2007/PartnerControls"/>
    </lcf76f155ced4ddcb4097134ff3c332f>
    <TaxCatchAll xmlns="dc44dd61-d298-48f6-94c1-bf6e563cd65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5F2867EBB862A34AA6696B929C9EDE7A" ma:contentTypeVersion="14" ma:contentTypeDescription="新しいドキュメントを作成します。" ma:contentTypeScope="" ma:versionID="65d39826eee783e5576943a547dcdd12">
  <xsd:schema xmlns:xsd="http://www.w3.org/2001/XMLSchema" xmlns:xs="http://www.w3.org/2001/XMLSchema" xmlns:p="http://schemas.microsoft.com/office/2006/metadata/properties" xmlns:ns2="31344171-b948-4100-a6fb-a573acfef863" xmlns:ns3="dc44dd61-d298-48f6-94c1-bf6e563cd65e" targetNamespace="http://schemas.microsoft.com/office/2006/metadata/properties" ma:root="true" ma:fieldsID="c69496bac1d08da572bbe1a359f04526" ns2:_="" ns3:_="">
    <xsd:import namespace="31344171-b948-4100-a6fb-a573acfef863"/>
    <xsd:import namespace="dc44dd61-d298-48f6-94c1-bf6e563cd65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3:TaxCatchAll" minOccurs="0"/>
                <xsd:element ref="ns2:MediaServiceOCR" minOccurs="0"/>
                <xsd:element ref="ns2:lcf76f155ced4ddcb4097134ff3c332f"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344171-b948-4100-a6fb-a573acfef8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1e1c6816-2a4f-4461-93c7-8dd281d6228d"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44dd61-d298-48f6-94c1-bf6e563cd65e"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42e30-4713-4bc6-80a9-9881f4e177d0}" ma:internalName="TaxCatchAll" ma:showField="CatchAllData" ma:web="dc44dd61-d298-48f6-94c1-bf6e563cd65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85925E9-108D-48F5-9F55-80E241E7B40D}">
  <ds:schemaRefs>
    <ds:schemaRef ds:uri="http://purl.org/dc/dcmitype/"/>
    <ds:schemaRef ds:uri="http://purl.org/dc/elements/1.1/"/>
    <ds:schemaRef ds:uri="http://schemas.openxmlformats.org/package/2006/metadata/core-properties"/>
    <ds:schemaRef ds:uri="http://www.w3.org/XML/1998/namespace"/>
    <ds:schemaRef ds:uri="http://purl.org/dc/terms/"/>
    <ds:schemaRef ds:uri="31344171-b948-4100-a6fb-a573acfef863"/>
    <ds:schemaRef ds:uri="http://schemas.microsoft.com/office/2006/documentManagement/types"/>
    <ds:schemaRef ds:uri="dc44dd61-d298-48f6-94c1-bf6e563cd65e"/>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CA95C77E-8F06-4DD8-8FCE-2949EDE3D9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344171-b948-4100-a6fb-a573acfef863"/>
    <ds:schemaRef ds:uri="dc44dd61-d298-48f6-94c1-bf6e563cd6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8BDB372-DE16-4B52-9B5A-99976004A55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実施計画集計（集計）</vt:lpstr>
      <vt:lpstr>様式１-２</vt:lpstr>
      <vt:lpstr>様式１-３</vt:lpstr>
      <vt:lpstr>様式１-４</vt:lpstr>
      <vt:lpstr>様式１-５</vt:lpstr>
      <vt:lpstr>実行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悠太 沖</cp:lastModifiedBy>
  <cp:revision>1</cp:revision>
  <dcterms:created xsi:type="dcterms:W3CDTF">2025-11-10T04:45:25Z</dcterms:created>
  <dcterms:modified xsi:type="dcterms:W3CDTF">2025-12-19T08:27:37Z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0x0101005F2867EBB862A34AA6696B929C9EDE7A</vt:lpwstr>
  </property>
</Properties>
</file>